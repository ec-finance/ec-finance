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Standards_Alignment" sheetId="2" state="visible" r:id="rId2"/>
    <sheet name="GF_Operating_Statement" sheetId="3" state="visible" r:id="rId3"/>
    <sheet name="GF_Balance_Sheet" sheetId="4" state="visible" r:id="rId4"/>
    <sheet name="GF_Cash_Flow_Derived" sheetId="5" state="visible" r:id="rId5"/>
    <sheet name="GF_Budget_Variance" sheetId="6" state="visible" r:id="rId6"/>
    <sheet name="GF_Variance_Notes" sheetId="7" state="visible" r:id="rId7"/>
    <sheet name="GF_Variance_Trend" sheetId="8" state="visible" r:id="rId8"/>
    <sheet name="GF_to_Citywide_Bridge" sheetId="9" state="visible" r:id="rId9"/>
    <sheet name="CW_Net_Position" sheetId="10" state="visible" r:id="rId10"/>
    <sheet name="CW_Statement_of_Activities" sheetId="11" state="visible" r:id="rId11"/>
    <sheet name="CW_Capital_Assets" sheetId="12" state="visible" r:id="rId12"/>
    <sheet name="CW_LT_Liabilities" sheetId="13" state="visible" r:id="rId13"/>
    <sheet name="CW_Pension_OPEB" sheetId="14" state="visible" r:id="rId14"/>
    <sheet name="Stat_Trends" sheetId="15" state="visible" r:id="rId15"/>
    <sheet name="Stat_Revenue_Operating" sheetId="16" state="visible" r:id="rId16"/>
    <sheet name="Stat_Debt_Capacity" sheetId="17" state="visible" r:id="rId17"/>
    <sheet name="GF_Budget_Detail" sheetId="18" state="visible" r:id="rId18"/>
  </sheets>
  <definedNames>
    <definedName name="_xlnm._FilterDatabase" localSheetId="17" hidden="1">'GF_Budget_Detail'!$A$4:$J$295</definedName>
  </definedNames>
  <calcPr calcId="124519" fullCalcOnLoad="1"/>
</workbook>
</file>

<file path=xl/styles.xml><?xml version="1.0" encoding="utf-8"?>
<styleSheet xmlns="http://schemas.openxmlformats.org/spreadsheetml/2006/main">
  <numFmts count="10">
    <numFmt numFmtId="164" formatCode="#,##0;(#,##0);&quot;-&quot;"/>
    <numFmt numFmtId="165" formatCode="0&quot;*&quot;"/>
    <numFmt numFmtId="166" formatCode="0.0%;(0.0%);&quot;-&quot;"/>
    <numFmt numFmtId="167" formatCode="0.00&quot;x&quot;"/>
    <numFmt numFmtId="168" formatCode="0.0000%"/>
    <numFmt numFmtId="169" formatCode="0.000%"/>
    <numFmt numFmtId="170" formatCode="0.0"/>
    <numFmt numFmtId="171" formatCode="0.000"/>
    <numFmt numFmtId="172" formatCode="0.00000"/>
    <numFmt numFmtId="173" formatCode="0.0%"/>
  </numFmts>
  <fonts count="17">
    <font>
      <name val="Calibri"/>
      <family val="2"/>
      <color theme="1"/>
      <sz val="11"/>
      <scheme val="minor"/>
    </font>
    <font>
      <name val="Arial"/>
      <b val="1"/>
      <sz val="13"/>
    </font>
    <font>
      <name val="Arial"/>
      <i val="1"/>
      <color rgb="00555555"/>
      <sz val="9"/>
    </font>
    <font>
      <name val="Arial"/>
      <b val="1"/>
      <color rgb="00FFFFFF"/>
      <sz val="10"/>
    </font>
    <font>
      <name val="Arial"/>
      <color rgb="000000FF"/>
      <sz val="10"/>
    </font>
    <font>
      <name val="Arial"/>
      <sz val="10"/>
    </font>
    <font>
      <name val="Arial"/>
      <b val="1"/>
      <color rgb="009C5700"/>
      <sz val="9"/>
    </font>
    <font>
      <name val="Arial"/>
      <b val="1"/>
      <sz val="10"/>
    </font>
    <font>
      <name val="Arial"/>
      <color rgb="00008000"/>
      <sz val="10"/>
    </font>
    <font>
      <name val="Arial"/>
      <color rgb="00FFFFFF"/>
      <sz val="8"/>
    </font>
    <font>
      <name val="Arial"/>
      <b val="1"/>
      <color rgb="007F7F7F"/>
      <sz val="10"/>
    </font>
    <font>
      <name val="Arial"/>
      <color rgb="007F7F7F"/>
      <sz val="10"/>
    </font>
    <font>
      <name val="Arial"/>
      <b val="1"/>
      <color rgb="00008000"/>
      <sz val="10"/>
    </font>
    <font>
      <name val="Arial"/>
      <b val="1"/>
      <color rgb="00006100"/>
      <sz val="10"/>
    </font>
    <font>
      <name val="Arial"/>
      <b val="1"/>
      <color rgb="009C5700"/>
      <sz val="10"/>
    </font>
    <font>
      <name val="Arial"/>
      <b val="1"/>
      <color rgb="001F3864"/>
      <sz val="10"/>
    </font>
    <font>
      <name val="Arial"/>
      <color theme="1"/>
      <sz val="11"/>
    </font>
  </fonts>
  <fills count="9">
    <fill>
      <patternFill/>
    </fill>
    <fill>
      <patternFill patternType="gray125"/>
    </fill>
    <fill>
      <patternFill patternType="solid">
        <fgColor rgb="001F3864"/>
      </patternFill>
    </fill>
    <fill>
      <patternFill patternType="solid">
        <fgColor rgb="00FCE4D6"/>
      </patternFill>
    </fill>
    <fill>
      <patternFill patternType="solid">
        <fgColor rgb="00C65911"/>
      </patternFill>
    </fill>
    <fill>
      <patternFill patternType="solid">
        <fgColor rgb="00D9E1F2"/>
      </patternFill>
    </fill>
    <fill>
      <patternFill patternType="solid">
        <fgColor rgb="00E2EFDA"/>
      </patternFill>
    </fill>
    <fill>
      <patternFill patternType="solid">
        <fgColor rgb="00FFFF00"/>
      </patternFill>
    </fill>
    <fill>
      <patternFill patternType="solid">
        <fgColor rgb="00375623"/>
      </patternFill>
    </fill>
  </fills>
  <borders count="3">
    <border>
      <left/>
      <right/>
      <top/>
      <bottom/>
      <diagonal/>
    </border>
    <border>
      <top style="thin"/>
    </border>
    <border>
      <top style="thin"/>
      <bottom style="double"/>
    </border>
  </borders>
  <cellStyleXfs count="1">
    <xf numFmtId="0" fontId="0" fillId="0" borderId="0"/>
  </cellStyleXfs>
  <cellXfs count="99">
    <xf numFmtId="0" fontId="0" fillId="0" borderId="0" pivotButton="0" quotePrefix="0" xfId="0"/>
    <xf numFmtId="0" fontId="1" fillId="0" borderId="0" pivotButton="0" quotePrefix="0" xfId="0"/>
    <xf numFmtId="0" fontId="16" fillId="0" borderId="0" pivotButton="0" quotePrefix="0" xfId="0"/>
    <xf numFmtId="0" fontId="7"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vertical="top" wrapText="1"/>
    </xf>
    <xf numFmtId="0" fontId="5" fillId="3"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7" fillId="0" borderId="0" pivotButton="0" quotePrefix="0" xfId="0"/>
    <xf numFmtId="0" fontId="5" fillId="0" borderId="0" pivotButton="0" quotePrefix="0" xfId="0"/>
    <xf numFmtId="0" fontId="2" fillId="0" borderId="0" applyAlignment="1" pivotButton="0" quotePrefix="0" xfId="0">
      <alignment vertical="top" wrapText="1"/>
    </xf>
    <xf numFmtId="0" fontId="6" fillId="0" borderId="0" applyAlignment="1" pivotButton="0" quotePrefix="0" xfId="0">
      <alignment horizontal="center"/>
    </xf>
    <xf numFmtId="0" fontId="3" fillId="2" borderId="0" pivotButton="0" quotePrefix="0" xfId="0"/>
    <xf numFmtId="1" fontId="3" fillId="2" borderId="0" applyAlignment="1" pivotButton="0" quotePrefix="0" xfId="0">
      <alignment horizontal="center"/>
    </xf>
    <xf numFmtId="165" fontId="3" fillId="4" borderId="0" applyAlignment="1" pivotButton="0" quotePrefix="0" xfId="0">
      <alignment horizontal="center"/>
    </xf>
    <xf numFmtId="0" fontId="7" fillId="5" borderId="0" pivotButton="0" quotePrefix="0" xfId="0"/>
    <xf numFmtId="0" fontId="16" fillId="5" borderId="0" pivotButton="0" quotePrefix="0" xfId="0"/>
    <xf numFmtId="0" fontId="5" fillId="0" borderId="0" applyAlignment="1" pivotButton="0" quotePrefix="0" xfId="0">
      <alignment indent="1"/>
    </xf>
    <xf numFmtId="164" fontId="5" fillId="0" borderId="0" pivotButton="0" quotePrefix="0" xfId="0"/>
    <xf numFmtId="164" fontId="5" fillId="3" borderId="0" pivotButton="0" quotePrefix="0" xfId="0"/>
    <xf numFmtId="164" fontId="7" fillId="0" borderId="1" pivotButton="0" quotePrefix="0" xfId="0"/>
    <xf numFmtId="164" fontId="7" fillId="3" borderId="1" pivotButton="0" quotePrefix="0" xfId="0"/>
    <xf numFmtId="0" fontId="5" fillId="0" borderId="0" applyAlignment="1" pivotButton="0" quotePrefix="0" xfId="0">
      <alignment indent="2"/>
    </xf>
    <xf numFmtId="164" fontId="7" fillId="0" borderId="0" pivotButton="0" quotePrefix="0" xfId="0"/>
    <xf numFmtId="164" fontId="7" fillId="3" borderId="0" pivotButton="0" quotePrefix="0" xfId="0"/>
    <xf numFmtId="164" fontId="4" fillId="0" borderId="0" pivotButton="0" quotePrefix="0" xfId="0"/>
    <xf numFmtId="164" fontId="4" fillId="3" borderId="0" pivotButton="0" quotePrefix="0" xfId="0"/>
    <xf numFmtId="164" fontId="7" fillId="0" borderId="2" pivotButton="0" quotePrefix="0" xfId="0"/>
    <xf numFmtId="164" fontId="7" fillId="3" borderId="2" pivotButton="0" quotePrefix="0" xfId="0"/>
    <xf numFmtId="166" fontId="5" fillId="0" borderId="0" pivotButton="0" quotePrefix="0" xfId="0"/>
    <xf numFmtId="166" fontId="5" fillId="3" borderId="0" pivotButton="0" quotePrefix="0" xfId="0"/>
    <xf numFmtId="164" fontId="5" fillId="6" borderId="0" pivotButton="0" quotePrefix="0" xfId="0"/>
    <xf numFmtId="164" fontId="8" fillId="0" borderId="0" pivotButton="0" quotePrefix="0" xfId="0"/>
    <xf numFmtId="164" fontId="4" fillId="7" borderId="0" pivotButton="0" quotePrefix="0" xfId="0"/>
    <xf numFmtId="166" fontId="4" fillId="7" borderId="0" pivotButton="0" quotePrefix="0" xfId="0"/>
    <xf numFmtId="0" fontId="16" fillId="2" borderId="0" pivotButton="0" quotePrefix="0" xfId="0"/>
    <xf numFmtId="0" fontId="9" fillId="2" borderId="0" pivotButton="0" quotePrefix="0" xfId="0"/>
    <xf numFmtId="0" fontId="7" fillId="0" borderId="0" applyAlignment="1" pivotButton="0" quotePrefix="0" xfId="0">
      <alignment horizontal="center" vertical="center" wrapText="1"/>
    </xf>
    <xf numFmtId="0" fontId="10" fillId="0" borderId="0" applyAlignment="1" pivotButton="0" quotePrefix="0" xfId="0">
      <alignment horizontal="center" vertical="center" wrapText="1"/>
    </xf>
    <xf numFmtId="164" fontId="11" fillId="0" borderId="0" pivotButton="0" quotePrefix="0" xfId="0"/>
    <xf numFmtId="0" fontId="5" fillId="0" borderId="0" applyAlignment="1" pivotButton="0" quotePrefix="0" xfId="0">
      <alignment horizontal="center"/>
    </xf>
    <xf numFmtId="166" fontId="7" fillId="0" borderId="1" pivotButton="0" quotePrefix="0" xfId="0"/>
    <xf numFmtId="0" fontId="7" fillId="0" borderId="1" applyAlignment="1" pivotButton="0" quotePrefix="0" xfId="0">
      <alignment horizontal="center"/>
    </xf>
    <xf numFmtId="0" fontId="3" fillId="4" borderId="0" pivotButton="0" quotePrefix="0" xfId="0"/>
    <xf numFmtId="0" fontId="16" fillId="4" borderId="0" pivotButton="0" quotePrefix="0" xfId="0"/>
    <xf numFmtId="0" fontId="9" fillId="4" borderId="0" pivotButton="0" quotePrefix="0" xfId="0"/>
    <xf numFmtId="0" fontId="5" fillId="3" borderId="0" applyAlignment="1" pivotButton="0" quotePrefix="0" xfId="0">
      <alignment indent="1"/>
    </xf>
    <xf numFmtId="164" fontId="8" fillId="3" borderId="0" pivotButton="0" quotePrefix="0" xfId="0"/>
    <xf numFmtId="164" fontId="11" fillId="3" borderId="0" pivotButton="0" quotePrefix="0" xfId="0"/>
    <xf numFmtId="0" fontId="5" fillId="3" borderId="0" applyAlignment="1" pivotButton="0" quotePrefix="0" xfId="0">
      <alignment horizontal="center"/>
    </xf>
    <xf numFmtId="0" fontId="7" fillId="3" borderId="0" pivotButton="0" quotePrefix="0" xfId="0"/>
    <xf numFmtId="166" fontId="7" fillId="3" borderId="1" pivotButton="0" quotePrefix="0" xfId="0"/>
    <xf numFmtId="0" fontId="7" fillId="3" borderId="1" applyAlignment="1" pivotButton="0" quotePrefix="0" xfId="0">
      <alignment horizontal="center"/>
    </xf>
    <xf numFmtId="0" fontId="6" fillId="0" borderId="0" pivotButton="0" quotePrefix="0" xfId="0"/>
    <xf numFmtId="0" fontId="2" fillId="0" borderId="0" applyAlignment="1" pivotButton="0" quotePrefix="0" xfId="0">
      <alignment wrapText="1"/>
    </xf>
    <xf numFmtId="1" fontId="5" fillId="0" borderId="0" pivotButton="0" quotePrefix="0" xfId="0"/>
    <xf numFmtId="1" fontId="5" fillId="3" borderId="0" pivotButton="0" quotePrefix="0" xfId="0"/>
    <xf numFmtId="0" fontId="7" fillId="0" borderId="0" applyAlignment="1" pivotButton="0" quotePrefix="0" xfId="0">
      <alignment wrapText="1"/>
    </xf>
    <xf numFmtId="0" fontId="6" fillId="0" borderId="0" applyAlignment="1" pivotButton="0" quotePrefix="0" xfId="0">
      <alignment wrapText="1"/>
    </xf>
    <xf numFmtId="1" fontId="7" fillId="0" borderId="0" pivotButton="0" quotePrefix="0" xfId="0"/>
    <xf numFmtId="1" fontId="7" fillId="3" borderId="0" pivotButton="0" quotePrefix="0" xfId="0"/>
    <xf numFmtId="164" fontId="16" fillId="6" borderId="0" pivotButton="0" quotePrefix="0" xfId="0"/>
    <xf numFmtId="0" fontId="3" fillId="8" borderId="0" pivotButton="0" quotePrefix="0" xfId="0"/>
    <xf numFmtId="1" fontId="3" fillId="8" borderId="0" applyAlignment="1" pivotButton="0" quotePrefix="0" xfId="0">
      <alignment horizontal="center"/>
    </xf>
    <xf numFmtId="164" fontId="12" fillId="0" borderId="0" pivotButton="0" quotePrefix="0" xfId="0"/>
    <xf numFmtId="164" fontId="12" fillId="0" borderId="2" pivotButton="0" quotePrefix="0" xfId="0"/>
    <xf numFmtId="0" fontId="7" fillId="0" borderId="0" applyAlignment="1" pivotButton="0" quotePrefix="0" xfId="0">
      <alignment indent="2"/>
    </xf>
    <xf numFmtId="167" fontId="5" fillId="0" borderId="0" pivotButton="0" quotePrefix="0" xfId="0"/>
    <xf numFmtId="168" fontId="4" fillId="0" borderId="0" pivotButton="0" quotePrefix="0" xfId="0"/>
    <xf numFmtId="0" fontId="7" fillId="0" borderId="0" applyAlignment="1" pivotButton="0" quotePrefix="0" xfId="0">
      <alignment indent="1"/>
    </xf>
    <xf numFmtId="166" fontId="4" fillId="0" borderId="0" pivotButton="0" quotePrefix="0" xfId="0"/>
    <xf numFmtId="10" fontId="4" fillId="0" borderId="0" pivotButton="0" quotePrefix="0" xfId="0"/>
    <xf numFmtId="0" fontId="3" fillId="8" borderId="0" applyAlignment="1" pivotButton="0" quotePrefix="0" xfId="0">
      <alignment horizontal="center" wrapText="1"/>
    </xf>
    <xf numFmtId="171" fontId="5" fillId="0" borderId="0" pivotButton="0" quotePrefix="0" xfId="0"/>
    <xf numFmtId="171" fontId="5" fillId="6" borderId="0" pivotButton="0" quotePrefix="0" xfId="0"/>
    <xf numFmtId="164" fontId="12" fillId="0" borderId="1" pivotButton="0" quotePrefix="0" xfId="0"/>
    <xf numFmtId="3" fontId="4" fillId="0" borderId="0" pivotButton="0" quotePrefix="0" xfId="0"/>
    <xf numFmtId="3" fontId="5" fillId="0" borderId="0" pivotButton="0" quotePrefix="0" xfId="0"/>
    <xf numFmtId="173" fontId="5" fillId="0" borderId="0" pivotButton="0" quotePrefix="0" xfId="0"/>
    <xf numFmtId="169" fontId="5" fillId="0" borderId="0" pivotButton="0" quotePrefix="0" xfId="0"/>
    <xf numFmtId="10" fontId="5" fillId="0" borderId="0" pivotButton="0" quotePrefix="0" xfId="0"/>
    <xf numFmtId="10" fontId="7" fillId="0" borderId="0" pivotButton="0" quotePrefix="0" xfId="0"/>
    <xf numFmtId="10" fontId="16" fillId="0" borderId="0" pivotButton="0" quotePrefix="0" xfId="0"/>
    <xf numFmtId="170" fontId="4" fillId="0" borderId="0" pivotButton="0" quotePrefix="0" xfId="0"/>
    <xf numFmtId="170" fontId="7" fillId="0" borderId="1" pivotButton="0" quotePrefix="0" xfId="0"/>
    <xf numFmtId="2" fontId="5" fillId="0" borderId="0" pivotButton="0" quotePrefix="0" xfId="0"/>
    <xf numFmtId="170" fontId="5" fillId="0" borderId="0" pivotButton="0" quotePrefix="0" xfId="0"/>
    <xf numFmtId="172" fontId="4" fillId="0" borderId="0" pivotButton="0" quotePrefix="0" xfId="0"/>
    <xf numFmtId="3" fontId="7" fillId="0" borderId="0" pivotButton="0" quotePrefix="0" xfId="0"/>
    <xf numFmtId="169" fontId="4" fillId="0" borderId="0" pivotButton="0" quotePrefix="0" xfId="0"/>
    <xf numFmtId="166" fontId="16" fillId="0" borderId="0" pivotButton="0" quotePrefix="0" xfId="0"/>
    <xf numFmtId="0" fontId="4" fillId="0" borderId="0" pivotButton="0" quotePrefix="0" xfId="0"/>
    <xf numFmtId="0" fontId="4" fillId="3" borderId="0" pivotButton="0" quotePrefix="0" xfId="0"/>
    <xf numFmtId="0" fontId="5" fillId="3"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analysis</author>
  </authors>
  <commentList>
    <comment ref="N6" authorId="0" shapeId="0">
      <text>
        <t>FY2025-26 is UNAUDITED: City's Q4 General Fund update (9/15/2026), budget-report basis. The audited ACFR is expected December 2026 and may change these figures.</t>
      </text>
    </comment>
    <comment ref="A46" authorId="0" shapeId="0">
      <text>
        <t>FY2019: +$800,755 proceeds of land sale from Contra Costa County. FY2021: -$1,321,189 write-off of advance to El Cerrito Redevelopment Agency Successor Agency (non-cash).</t>
      </text>
    </comment>
    <comment ref="E51" authorId="0" shapeId="0">
      <text>
        <t>FY2017 CAFR: beginning fund balance 'as restated' $615,515 vs. FY2016 reported ending $1,893,842.</t>
      </text>
    </comment>
    <comment ref="H51" authorId="0" shapeId="0">
      <text>
        <t>FY2020 CAFR: beginning fund balance 'as restated' -$38,963 vs. FY2019 reported ending -$56,692.</t>
      </text>
    </comment>
    <comment ref="K51" authorId="0" shapeId="0">
      <text>
        <t>FY2023 ACFR: prior-period adjustment shown in the governmental funds statement (omitted from the budget schedule).</t>
      </text>
    </comment>
    <comment ref="L51" authorId="0" shapeId="0">
      <text>
        <t>FY2024 ACFR: prior-period correction to beginning balance.</t>
      </text>
    </comment>
    <comment ref="E53" authorId="0" shapeId="0">
      <text>
        <t>Beginning balance 'as restated' in FY2017 CAFR; FY2016 reported ending was $1,893,842.</t>
      </text>
    </comment>
    <comment ref="H53" authorId="0" shapeId="0">
      <text>
        <t>Beginning balance 'as restated' in FY2020 CAFR; FY2019 reported ending was -$56,692.</t>
      </text>
    </comment>
    <comment ref="K53" authorId="0" shapeId="0">
      <text>
        <t>Beginning $16,624,174 less $409,799 prior-period adjustment (FY2023 ACFR governmental funds statement, PDF line ~1486). The budget-to-actual schedule omits this adjustment.</t>
      </text>
    </comment>
    <comment ref="L53" authorId="0" shapeId="0">
      <text>
        <t>Includes $404 prior-period correction to beginning balance.</t>
      </text>
    </comment>
    <comment ref="N53" authorId="0" shapeId="0">
      <text>
        <t>UNAUDITED. Beginning = audited FY2025 ending. Ending matches the Q4 report's projected unaudited year-end General Fund balance of $23,166,797.</t>
      </text>
    </comment>
    <comment ref="A58" authorId="0" shapeId="0">
      <text>
        <t>GASB 44 requires this ratio in the 'Changes in Fund Balances of Governmental Funds' schedule (there for all governmental funds; here for the General Fund only).</t>
      </text>
    </comment>
    <comment ref="N65" authorId="0" shapeId="0">
      <text>
        <t>FY2026: the Q4 report's category totals are rounded and sum to $1 less than its printed totals, so this check can show (1).</t>
      </text>
    </comment>
  </commentList>
</comments>
</file>

<file path=xl/comments/comment2.xml><?xml version="1.0" encoding="utf-8"?>
<comments xmlns="http://schemas.openxmlformats.org/spreadsheetml/2006/main">
  <authors>
    <author>analysis</author>
  </authors>
  <commentList>
    <comment ref="B6" authorId="0" shapeId="0">
      <text>
        <t>FY2014 CAFR (elcerrito.gov Archive ADID 2171), PDF page 42.</t>
      </text>
    </comment>
    <comment ref="C6" authorId="0" shapeId="0">
      <text>
        <t>FY2015 CAFR (elcerrito.gov Archive ADID 2576), PDF page 40.</t>
      </text>
    </comment>
    <comment ref="D6" authorId="0" shapeId="0">
      <text>
        <t>FY2016 CAFR (elcerrito.gov Archive ADID 3054), PDF page 42.</t>
      </text>
    </comment>
    <comment ref="E6" authorId="0" shapeId="0">
      <text>
        <t>FY2017 CAFR (elcerrito.gov Archive ADID 4804), PDF page 44. Nonspendable = $873,766 advance to Successor Agency + $120,976 prepaids/inventory.</t>
      </text>
    </comment>
    <comment ref="F6" authorId="0" shapeId="0">
      <text>
        <t>FY2018 CAFR (elcerrito.gov Archive ADID 5118), PDF page 44. Nonspendable = advances $988,351 + Successor Agency $1,321,189 + inventory $11,537.</t>
      </text>
    </comment>
    <comment ref="G6" authorId="0" shapeId="0">
      <text>
        <t>FY2019 CAFR (elcerrito.gov Archive ADID 5422), PDF page 42. Nonspendable = advances $317,967 + Successor Agency $1,321,189 + inventory $11,772.</t>
      </text>
    </comment>
    <comment ref="H6" authorId="0" shapeId="0">
      <text>
        <t>FY2020 CAFR (elcerrito.gov Archive ADID 5423), PDF page 44. Nonspendable = advances $315,306 + Successor Agency $1,321,189 + inventory/prepaids $31,016.</t>
      </text>
    </comment>
    <comment ref="I6" authorId="0" shapeId="0">
      <text>
        <t>FY2021 ACFR (elcerrito.gov Archive ADID 5807), PDF page 44. Advance to Successor Agency ($1,321,189) written off as a special item in FY2021.</t>
      </text>
    </comment>
    <comment ref="J6" authorId="0" shapeId="0">
      <text>
        <t>FY2022 ACFR (elcerrito.gov Archive ADID 7232), PDF page 50.</t>
      </text>
    </comment>
    <comment ref="K6" authorId="0" shapeId="0">
      <text>
        <t>FY2023 ACFR (elcerrito.gov Archive ADID 7528), PDF page 46.</t>
      </text>
    </comment>
    <comment ref="L6" authorId="0" shapeId="0">
      <text>
        <t>FY2024 ACFR (elcerrito.gov Archive ADID 7857), PDF page 46. Inventory ($32,082) reported within 'Prepaid items and other assets'. Restricted = pensions (Section 115 trust).</t>
      </text>
    </comment>
    <comment ref="M6" authorId="0" shapeId="0">
      <text>
        <t>FY2025 ACFR (elcerrito.gov Archive ADID 8130), PDF page 50. Inventory ($32,180) reported within 'Prepaid items and other assets'. Restricted = pensions (Section 115 trust).</t>
      </text>
    </comment>
  </commentList>
</comments>
</file>

<file path=xl/comments/comment3.xml><?xml version="1.0" encoding="utf-8"?>
<comments xmlns="http://schemas.openxmlformats.org/spreadsheetml/2006/main">
  <authors>
    <author>analysis</author>
  </authors>
  <commentList>
    <comment ref="A8" authorId="0" shapeId="0">
      <text>
        <t>Excess of revenues over expenditures with capital outlay and debt service added back (those are shown under capital and related financing, per GASB 9 categories).</t>
      </text>
    </comment>
    <comment ref="A35" authorId="0" shapeId="0">
      <text>
        <t>Residual between the actual change in cash and the flows above. Non-zero only where the beginning fund balance was restated (FY2017, FY2020, FY2023, FY2024).</t>
      </text>
    </comment>
  </commentList>
</comments>
</file>

<file path=xl/comments/comment4.xml><?xml version="1.0" encoding="utf-8"?>
<comments xmlns="http://schemas.openxmlformats.org/spreadsheetml/2006/main">
  <authors>
    <author>analysis</author>
  </authors>
  <commentList>
    <comment ref="L2" authorId="0" shapeId="0">
      <text>
        <t>Assumption (analyst-chosen, editable): GASB 103 requires notes explaining 'significant' variances but does not define significance. A line is flagged when |variance with final| &gt;= this amount AND &gt;= the % below.</t>
      </text>
    </comment>
  </commentList>
</comments>
</file>

<file path=xl/comments/comment5.xml><?xml version="1.0" encoding="utf-8"?>
<comments xmlns="http://schemas.openxmlformats.org/spreadsheetml/2006/main">
  <authors>
    <author>analysis</author>
  </authors>
  <commentList>
    <comment ref="N6" authorId="0" shapeId="0">
      <text>
        <t>FY2025-26 is UNAUDITED: City's Q4 General Fund update (9/15/2026), budget-report basis. The audited ACFR is expected December 2026 and may change these figures.</t>
      </text>
    </comment>
  </commentList>
</comments>
</file>

<file path=xl/comments/comment6.xml><?xml version="1.0" encoding="utf-8"?>
<comments xmlns="http://schemas.openxmlformats.org/spreadsheetml/2006/main">
  <authors>
    <author>analysis</author>
  </authors>
  <commentList>
    <comment ref="F8" authorId="0" shapeId="0">
      <text>
        <t>FY2018: total assets $26,762,317 - liabilities $10,300,655 - deferred inflows $1,664,536 (Governmental Funds Balance Sheet, total column; text layer unreadable).</t>
      </text>
    </comment>
    <comment ref="A18" authorId="0" shapeId="0">
      <text>
        <t>Mostly: internal service fund net position, revenues unavailable in the funds but recognized citywide, accrued interest payable, and deferred amounts on debt refunding.</t>
      </text>
    </comment>
    <comment ref="G46" authorId="0" shapeId="0">
      <text>
        <t>FY2019: $1 rounding in the ACFR's own reconciliation.</t>
      </text>
    </comment>
  </commentList>
</comments>
</file>

<file path=xl/comments/comment7.xml><?xml version="1.0" encoding="utf-8"?>
<comments xmlns="http://schemas.openxmlformats.org/spreadsheetml/2006/main">
  <authors>
    <author>analysis</author>
  </authors>
  <commentList>
    <comment ref="B6" authorId="0" shapeId="0">
      <text>
        <t>FY2014 CAFR (elcerrito.gov Archive ADID 2171), Statement of Net Position, PDF page 38. Pre-GASB 68: no net pension liability on the statement (implemented FY2015).</t>
      </text>
    </comment>
    <comment ref="C6" authorId="0" shapeId="0">
      <text>
        <t>FY2015 CAFR (elcerrito.gov Archive ADID 2576), Statement of Net Position, PDF page 35. GASB 68 implemented: net pension liability first reported.</t>
      </text>
    </comment>
    <comment ref="D6" authorId="0" shapeId="0">
      <text>
        <t>FY2016 CAFR (elcerrito.gov Archive ADID 3054), Statement of Net Position, PDF page 37.</t>
      </text>
    </comment>
    <comment ref="E6" authorId="0" shapeId="0">
      <text>
        <t>FY2017 CAFR (elcerrito.gov Archive ADID 4804), Statement of Net Position, PDF page 37. Cash includes $198,200 restricted cash with fiscal agents; other assets include $873,766 due from Successor Agency.</t>
      </text>
    </comment>
    <comment ref="F6" authorId="0" shapeId="0">
      <text>
        <t>FY2018 CAFR (elcerrito.gov Archive ADID 5118), Statement of Net Position, PDF page 37.</t>
      </text>
    </comment>
    <comment ref="G6" authorId="0" shapeId="0">
      <text>
        <t>FY2019 CAFR (elcerrito.gov Archive ADID 5422), Statement of Net Position, PDF page 35.</t>
      </text>
    </comment>
    <comment ref="H6" authorId="0" shapeId="0">
      <text>
        <t>FY2020 CAFR (elcerrito.gov Archive ADID 5423), Statement of Net Position, PDF page 37.</t>
      </text>
    </comment>
    <comment ref="I6" authorId="0" shapeId="0">
      <text>
        <t>FY2021 ACFR (elcerrito.gov Archive ADID 5807), Statement of Net Position, PDF page 37.</t>
      </text>
    </comment>
    <comment ref="J6" authorId="0" shapeId="0">
      <text>
        <t>FY2022 ACFR (elcerrito.gov Archive ADID 7232), Statement of Net Position, PDF page 46. From FY2022 the ACFR reports pension and OPEB deferrals together ('Pension Adjustments') and shows no separate net OPEB liability line. Depreciable includes $128,725 right-of-use assets.</t>
      </text>
    </comment>
    <comment ref="K6" authorId="0" shapeId="0">
      <text>
        <t>FY2023 ACFR (elcerrito.gov Archive ADID 7528), Statement of Net Position, PDF page 43.</t>
      </text>
    </comment>
    <comment ref="L6" authorId="0" shapeId="0">
      <text>
        <t>FY2024 ACFR (elcerrito.gov Archive ADID 7857), Statement of Net Position, PDF page 42.</t>
      </text>
    </comment>
    <comment ref="M6" authorId="0" shapeId="0">
      <text>
        <t>FY2025 ACFR (elcerrito.gov Archive ADID 8130), Statement of Net Position, PDF page 47.</t>
      </text>
    </comment>
    <comment ref="A48" authorId="0" shapeId="0">
      <text>
        <t>Year-over-year change in the reported total. FY2015 includes the GASB 68 restatement that first recorded the net pension liability (beginning net position restated downward).</t>
      </text>
    </comment>
  </commentList>
</comments>
</file>

<file path=xl/comments/comment8.xml><?xml version="1.0" encoding="utf-8"?>
<comments xmlns="http://schemas.openxmlformats.org/spreadsheetml/2006/main">
  <authors>
    <author>analysis</author>
  </authors>
  <commentList>
    <comment ref="K14" authorId="0" shapeId="0">
      <text>
        <t>Prior-period adjustments -$551,043 (General Fund -$409,799, Low/Mod Housing -$141,154, other -$90). Separately, FY2023 expenses are unusually low ($34.5M) because pension expense under GASB 68 was negative that year after strong CalPERS returns in the measurement period; not a cut in services.</t>
      </text>
    </comment>
    <comment ref="A36" authorId="0" shapeId="0">
      <text>
        <t>Real property transfer tax is reported separately from FY2019 (earlier years included in other lines).</t>
      </text>
    </comment>
    <comment ref="A38" authorId="0" shapeId="0">
      <text>
        <t>FY2014-FY2015 combine 'Use of money and property' ($207,475; $264,318) and 'Other' ($1,056,188; $1,283,914) from the FY2017 CAFR table. From FY2016 the FY2025 table reports them as one 'Other' line.</t>
      </text>
    </comment>
    <comment ref="A40" authorId="0" shapeId="0">
      <text>
        <t>FY2019: net special items -$6,773,576 (land sale and transfers related to the Successor Agency). FY2021: -$1,321,189 write-off of the advance to the Successor Agency.</t>
      </text>
    </comment>
    <comment ref="C46" authorId="0" shapeId="0">
      <text>
        <t>GASB 68 implementation: beginning net position restated downward to record the net pension liability for the first time.</t>
      </text>
    </comment>
    <comment ref="D46" authorId="0" shapeId="0">
      <text>
        <t>Beginning net position adjustment per the FY2016 statement (difference between reported change and year-over-year net position).</t>
      </text>
    </comment>
    <comment ref="E46" authorId="0" shapeId="0">
      <text>
        <t>FY2017 CAFR Note 20 adjustment to beginning governmental-activities net position (+$929,685).</t>
      </text>
    </comment>
    <comment ref="F46" authorId="0" shapeId="0">
      <text>
        <t>GASB 75 implementation (OPEB) restated beginning net position.</t>
      </text>
    </comment>
    <comment ref="J46" authorId="0" shapeId="0">
      <text>
        <t>OPEB plan benefit terms changed January 2, 2021, removing the implied subsidy; FY2022 beginning net position increased by $3,699,945 (FY2022 ACFR MD&amp;A), plus smaller adjustments.</t>
      </text>
    </comment>
    <comment ref="K46" authorId="0" shapeId="0">
      <text>
        <t>Prior-period adjustments -$551,043 (General Fund -$409,799, Low/Mod Housing -$141,154, other -$90). Separately, FY2023 expenses are unusually low ($34.5M) because pension expense under GASB 68 was negative that year after strong CalPERS returns in the measurement period; not a cut in services.</t>
      </text>
    </comment>
    <comment ref="L46" authorId="0" shapeId="0">
      <text>
        <t>FY2024 ACFR Note 11: +$2,161,131 change in application of accounting policies (offset in business-type activities), +$150,619 correction in the vehicle replacement internal service fund, +$404 General Fund correction.</t>
      </text>
    </comment>
  </commentList>
</comments>
</file>

<file path=xl/comments/comment9.xml><?xml version="1.0" encoding="utf-8"?>
<comments xmlns="http://schemas.openxmlformats.org/spreadsheetml/2006/main">
  <authors>
    <author>analysis</author>
  </authors>
  <commentList>
    <comment ref="E6" authorId="0" shapeId="0">
      <text>
        <t>Large FY2017 drop in equipment, infrastructure and accumulated depreciation compared with FY2016 as printed in the FY2017 MD&amp;A table (likely a reclassification/clean-up of the asset register; not explained in the table itself).</t>
      </text>
    </comment>
    <comment ref="J6" authorId="0" shapeId="0">
      <text>
        <t>Equipment includes $643,628 right-of-use (lease) assets added under GASB 87.</t>
      </text>
    </comment>
  </commentList>
</comments>
</file>

<file path=xl/comments/comment10.xml><?xml version="1.0" encoding="utf-8"?>
<comments xmlns="http://schemas.openxmlformats.org/spreadsheetml/2006/main">
  <authors>
    <author>analysis</author>
  </authors>
  <commentList>
    <comment ref="J6" authorId="0" shapeId="0">
      <text>
        <t>GASB 87 leases $114,531 shown separately from financed purchases $1,938,097 (MD&amp;A table).</t>
      </text>
    </comment>
    <comment ref="M6" authorId="0" shapeId="0">
      <text>
        <t>MD&amp;A debt table omits $624,364 of GASB 87 leases that appear in the FY2025 ACFR Statistical Table 10 and the Statement of Net Position.</t>
      </text>
    </comment>
  </commentList>
</comments>
</file>

<file path=xl/comments/comment11.xml><?xml version="1.0" encoding="utf-8"?>
<comments xmlns="http://schemas.openxmlformats.org/spreadsheetml/2006/main">
  <authors>
    <author>analysis</author>
  </authors>
  <commentList>
    <comment ref="L16" authorId="0" shapeId="0">
      <text>
        <t>Safety covered payroll falls from $9.7M to $5.9M in FY2023 in the proportionate-share schedule (and FY2023 contributions schedule), pushing NPL to 1,008% of payroll in FY2024. The ACFR does not explain the drop; it may be a reporting change rather than real staffing.</t>
      </text>
    </comment>
    <comment ref="M43" authorId="0" shapeId="0">
      <text>
        <t>FY2025 ACFR's 1%-decrease sensitivity ($118,325,156) is identical to FY2024's, while the current-rate NPL changed - likely carried forward without update. Treat the FY2025 sensitivity figure with caution.</t>
      </text>
    </comment>
    <comment ref="A48" authorId="0" shapeId="0">
      <text>
        <t>On January 2, 2021 the City changed its retiree health (OPEB) benefit terms, removing the implied subsidy; the total OPEB liability became zero and FY2022 beginning net position rose by $3,699,945 (FY2022 ACFR MD&amp;A). ACFRs from FY2023 contain no OPEB disclosures.</t>
      </text>
    </comment>
    <comment ref="A80" authorId="0" shapeId="0">
      <text>
        <t>GASB 68 NPL reported in the FY(Y+1) ACFR uses the June 30, Y measurement date, so it lines up with the CalPERS valuation as of June 30, Y. FY2025 ACFR NPL = 6/30/2024 measurement.</t>
      </text>
    </comment>
  </commentList>
</comments>
</file>

<file path=xl/comments/comment12.xml><?xml version="1.0" encoding="utf-8"?>
<comments xmlns="http://schemas.openxmlformats.org/spreadsheetml/2006/main">
  <authors>
    <author>analysis</author>
  </authors>
  <commentList>
    <comment ref="A39" authorId="0" shapeId="0">
      <text>
        <t>City-reported personal income; from 2018 the City estimates it as population x median household income (Table 13 footnote 2), which roughly doubles the series - ratios before and after 2018 are not comparable.</t>
      </text>
    </comment>
    <comment ref="G46" authorId="0" shapeId="0">
      <text>
        <t>ACFR Table 1 shows FY2019 restricted net position $14,255,506 and total $15,508,010; the audited FY2019 Statement of Net Position shows $14,225,506 and $15,478,010 (a $30,000 transcription difference in the statistical table).</t>
      </text>
    </comment>
    <comment ref="I48" authorId="0" shapeId="0">
      <text>
        <t>ACFR Table 3 labels the FY2021 General Fund $7,117,568 as 'Assigned'; the audited FY2021 balance sheet reports it as Unassigned.</t>
      </text>
    </comment>
  </commentList>
</comments>
</file>

<file path=xl/comments/comment13.xml><?xml version="1.0" encoding="utf-8"?>
<comments xmlns="http://schemas.openxmlformats.org/spreadsheetml/2006/main">
  <authors>
    <author>analysis</author>
  </authors>
  <commentList>
    <comment ref="A18" authorId="0" shapeId="0">
      <text>
        <t>Under the Teeter Plan the County pays the City its full allocation, so levies equal collections.</t>
      </text>
    </comment>
    <comment ref="A43" authorId="0" shapeId="0">
      <text>
        <t>ACFR Table 15 prints FY2017 total 177.7 and FY2018 total 166.7; the function rows sum to 166.7 and 177.7 - the two totals appear swapped.</t>
      </text>
    </comment>
    <comment ref="K49" authorId="0" shapeId="0">
      <text>
        <t>FY2025 city direct rate printed as 1.22319 in ACFR Table 7; entered here as 0.22319 (the FY2024 value and consistent with the series).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tabColor rgb="007F7F7F"/>
    <outlinePr summaryBelow="1" summaryRight="1"/>
    <pageSetUpPr/>
  </sheetPr>
  <dimension ref="A1:B25"/>
  <sheetViews>
    <sheetView showGridLines="0" workbookViewId="0">
      <selection activeCell="A1" sqref="A1"/>
    </sheetView>
  </sheetViews>
  <sheetFormatPr baseColWidth="8" defaultRowHeight="15"/>
  <cols>
    <col width="26" customWidth="1" min="1" max="1"/>
    <col width="130" customWidth="1" min="2" max="2"/>
  </cols>
  <sheetData>
    <row r="1">
      <c r="A1" s="1" t="inlineStr">
        <is>
          <t>El Cerrito financial statements from audited reports, FY2014-FY2025 (+ unaudited FY2025-26)</t>
        </is>
      </c>
      <c r="B1" s="2" t="n"/>
    </row>
    <row r="2">
      <c r="A2" s="2" t="n"/>
      <c r="B2" s="2" t="n"/>
    </row>
    <row r="3">
      <c r="A3" s="3" t="inlineStr">
        <is>
          <t>HOW TO READ</t>
        </is>
      </c>
      <c r="B3" s="4" t="inlineStr">
        <is>
          <t>Blue tabs (GF_) = General Fund only - the City's main operating fund, modified-accrual basis. Green tabs (CW_) = citywide governmental activities, full-accrual basis, including buildings/equipment, long-term debt and pension liabilities. GF_to_Citywide_Bridge walks from one to the other. The GF_ tabs do not depend on the CW_ tabs.</t>
        </is>
      </c>
    </row>
    <row r="4">
      <c r="A4" s="5" t="inlineStr">
        <is>
          <t>FY2025-26 UNAUDITED</t>
        </is>
      </c>
      <c r="B4" s="6" t="inlineStr">
        <is>
          <t>FY2026 columns and blocks (orange, marked UNAUDITED / 2026*) come from the City's FY2025-26 Fourth Quarter General Fund Budget Update (Agenda Bill 8.A, 9/15/2026), not an audited ACFR. They use the City's budget-report classifications, which differ from the ACFR (e.g. ~$1M of cost reimbursements appear as 'Other Financing Sources' rather than charges for services). The original expenditure budget is only available as a total. No FY2026 balance sheet, cash flow or citywide statements exist yet; the ACFR is expected December 2026.</t>
        </is>
      </c>
    </row>
    <row r="5">
      <c r="A5" s="3" t="inlineStr">
        <is>
          <t>Standards</t>
        </is>
      </c>
      <c r="B5" s="4" t="inlineStr">
        <is>
          <t>See Standards_Alignment for how each tab maps to GASB 34, 54, 100, 103, 41, 44, 9, 68/75, 87/96 and GFOA practice, and where it deviates. Stat_Trends reproduces the ACFR statistical-section (GASB 44) schedules and cross-checks them against the City's own FY2025 tables. Template pages: ../templates/ElCerrito_FY2025_ACFR_reference_pages.pdf.</t>
        </is>
      </c>
    </row>
    <row r="6">
      <c r="A6" s="3" t="inlineStr">
        <is>
          <t>Sources</t>
        </is>
      </c>
      <c r="B6" s="4" t="inlineStr">
        <is>
          <t>Audited CAFRs (FY2014-FY2020) and ACFRs (FY2021-FY2025) from elcerrito.gov/Archive.aspx?AMID=76 (PDFs in ../acfr/); FY2026 from ../council-packets/. Page references are in cell comments on year headers.</t>
        </is>
      </c>
    </row>
    <row r="7">
      <c r="A7" s="3" t="inlineStr">
        <is>
          <t>GF_Operating_Statement</t>
        </is>
      </c>
      <c r="B7" s="4" t="inlineStr">
        <is>
          <t>Revenues, expenditures, transfers and change in General Fund fund balance (the government 'P&amp;L').</t>
        </is>
      </c>
    </row>
    <row r="8">
      <c r="A8" s="3" t="inlineStr">
        <is>
          <t>GF_Balance_Sheet</t>
        </is>
      </c>
      <c r="B8" s="4" t="inlineStr">
        <is>
          <t>General Fund assets, liabilities, deferred inflows and fund balance at June 30.</t>
        </is>
      </c>
    </row>
    <row r="9">
      <c r="A9" s="3" t="inlineStr">
        <is>
          <t>GF_Cash_Flow_Derived</t>
        </is>
      </c>
      <c r="B9" s="4" t="inlineStr">
        <is>
          <t>NOT audited - reconstructed indirect-method cash flow (governmental funds have no cash-flow statement under GASB).</t>
        </is>
      </c>
    </row>
    <row r="10">
      <c r="A10" s="3" t="inlineStr">
        <is>
          <t>GF_Budget_Variance / GF_Variance_Trend</t>
        </is>
      </c>
      <c r="B10" s="4" t="inlineStr">
        <is>
          <t>Original vs. final vs. actual by category and year; trend sheet gives cumulative totals with and without FY2026.</t>
        </is>
      </c>
    </row>
    <row r="11">
      <c r="A11" s="3" t="inlineStr">
        <is>
          <t>GF_to_Citywide_Bridge</t>
        </is>
      </c>
      <c r="B11" s="4" t="inlineStr">
        <is>
          <t>General Fund fund balance -&gt; all governmental funds -&gt; plus capital assets, less debt and pension -&gt; citywide net position.</t>
        </is>
      </c>
    </row>
    <row r="12">
      <c r="A12" s="3" t="inlineStr">
        <is>
          <t>CW_Net_Position</t>
        </is>
      </c>
      <c r="B12" s="4" t="inlineStr">
        <is>
          <t>Government-wide Statement of Net Position, governmental activities column (excludes the waste-management enterprise fund), with the due-within-one-year split.</t>
        </is>
      </c>
    </row>
    <row r="13">
      <c r="A13" s="3" t="inlineStr">
        <is>
          <t>CW_Statement_of_Activities</t>
        </is>
      </c>
      <c r="B13" s="4" t="inlineStr">
        <is>
          <t>Expenses by function, program and general revenues, change in net position and restatements, FY2014-FY2025.</t>
        </is>
      </c>
    </row>
    <row r="14">
      <c r="A14" s="3" t="inlineStr">
        <is>
          <t>CW_Pension_OPEB</t>
        </is>
      </c>
      <c r="B14" s="4" t="inlineStr">
        <is>
          <t>CalPERS ten-year schedules (proportionate share, contributions, funded ratio), discount-rate sensitivity, OPEB history.</t>
        </is>
      </c>
    </row>
    <row r="15">
      <c r="A15" s="3" t="inlineStr">
        <is>
          <t>Stat_Revenue_Operating</t>
        </is>
      </c>
      <c r="B15" s="4" t="inlineStr">
        <is>
          <t>Assessed values, property tax levies, principal taxpayers and staffing (FTEs), last ten years.</t>
        </is>
      </c>
    </row>
    <row r="16">
      <c r="A16" s="3" t="inlineStr">
        <is>
          <t>Stat_Debt_Capacity</t>
        </is>
      </c>
      <c r="B16" s="4" t="inlineStr">
        <is>
          <t>Revenue bond coverage, legal debt margin, and direct and overlapping debt.</t>
        </is>
      </c>
    </row>
    <row r="17">
      <c r="A17" s="3" t="inlineStr">
        <is>
          <t>CalPERS</t>
        </is>
      </c>
      <c r="B17" s="4" t="inlineStr">
        <is>
          <t>Funding valuations from CalPERS annual valuation reports (June 30, 2024 and 2025) in ../calpers/, on CW_Pension_OPEB.</t>
        </is>
      </c>
    </row>
    <row r="18">
      <c r="A18" s="3" t="inlineStr">
        <is>
          <t>GF_Variance_Notes</t>
        </is>
      </c>
      <c r="B18" s="4" t="inlineStr">
        <is>
          <t>Explanations of significant General Fund budget variances, from the ACFR MD&amp;A and the FY2026 Q4 report.</t>
        </is>
      </c>
    </row>
    <row r="19">
      <c r="A19" s="3" t="inlineStr">
        <is>
          <t>CW_Capital_Assets</t>
        </is>
      </c>
      <c r="B19" s="4" t="inlineStr">
        <is>
          <t>Land, construction in progress, buildings, equipment, infrastructure at cost, accumulated depreciation, net.</t>
        </is>
      </c>
    </row>
    <row r="20">
      <c r="A20" s="3" t="inlineStr">
        <is>
          <t>CW_LT_Liabilities</t>
        </is>
      </c>
      <c r="B20" s="4" t="inlineStr">
        <is>
          <t>Bonds/notes, leases, compensated absences, claims, OPEB and CalPERS net pension liability; pension deferrals; ratios.</t>
        </is>
      </c>
    </row>
    <row r="21">
      <c r="A21" s="3" t="inlineStr">
        <is>
          <t>GF_Budget_Detail</t>
        </is>
      </c>
      <c r="B21" s="4" t="inlineStr">
        <is>
          <t>Input table: every General Fund budget line as printed, mapped to standard categories. GF summary tabs calculate from it.</t>
        </is>
      </c>
    </row>
    <row r="22">
      <c r="A22" s="3" t="inlineStr">
        <is>
          <t>Accounting changes</t>
        </is>
      </c>
      <c r="B22" s="4" t="inlineStr">
        <is>
          <t>GASB 68 (FY2015) added the net pension liability; GASB 75 (FY2018) restated OPEB; GASB 87 (FY2022) added lease assets. From FY2022 the ACFR combines pension and OPEB deferrals and shows no separate net OPEB liability line.</t>
        </is>
      </c>
    </row>
    <row r="23">
      <c r="A23" s="3" t="inlineStr">
        <is>
          <t>Restatements</t>
        </is>
      </c>
      <c r="B23" s="4" t="inlineStr">
        <is>
          <t>General Fund beginning balance restated FY2017 (-$1,278,327), FY2020 (+$17,729), FY2023 (-$409,799, shown in the ACFR fund statement but omitted from its budget schedule) and FY2024 (+$404).</t>
        </is>
      </c>
    </row>
    <row r="24">
      <c r="A24" s="3" t="inlineStr">
        <is>
          <t>FY2018</t>
        </is>
      </c>
      <c r="B24" s="4" t="inlineStr">
        <is>
          <t>The FY2018 CAFR's text layer is unreadable; its figures were transcribed from page images and verified against printed totals.</t>
        </is>
      </c>
    </row>
    <row r="25">
      <c r="A25" s="3" t="inlineStr">
        <is>
          <t>Color key</t>
        </is>
      </c>
      <c r="B25" s="4" t="inlineStr">
        <is>
          <t>Blue text = transcribed input; black = formula; green = formula linking another tab; light-green rows = tie-out checks (should be 0); orange = unaudited.</t>
        </is>
      </c>
    </row>
  </sheetData>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30" customWidth="1" min="3" max="3"/>
    <col width="14" customWidth="1" min="4" max="4"/>
    <col width="70" customWidth="1" min="5" max="5"/>
  </cols>
  <sheetData>
    <row r="1">
      <c r="A1" s="1" t="inlineStr">
        <is>
          <t>Alignment with governmental GAAP (GASB) and GFOA presentation practice</t>
        </is>
      </c>
      <c r="B1" s="2" t="n"/>
      <c r="C1" s="2" t="n"/>
      <c r="D1" s="2" t="n"/>
      <c r="E1" s="2" t="n"/>
    </row>
    <row r="2">
      <c r="A2" s="7" t="inlineStr">
        <is>
          <t>Governmental GAAP in the U.S. is set by GASB, not FASB. Status: Aligned = follows the standard's format; Partial = follows it with a noted limitation; Supplementary = beyond what GASB requires; Not included = outside this workbook's scope.</t>
        </is>
      </c>
      <c r="B2" s="2" t="n"/>
      <c r="C2" s="2" t="n"/>
      <c r="D2" s="2" t="n"/>
      <c r="E2" s="2" t="n"/>
    </row>
    <row r="3">
      <c r="A3" s="2" t="n"/>
      <c r="B3" s="2" t="n"/>
      <c r="C3" s="2" t="n"/>
      <c r="D3" s="2" t="n"/>
      <c r="E3" s="2" t="n"/>
    </row>
    <row r="4">
      <c r="A4" s="8" t="inlineStr">
        <is>
          <t>Standard / guidance</t>
        </is>
      </c>
      <c r="B4" s="8" t="inlineStr">
        <is>
          <t>Requirement (summary)</t>
        </is>
      </c>
      <c r="C4" s="8" t="inlineStr">
        <is>
          <t>Where in this workbook</t>
        </is>
      </c>
      <c r="D4" s="8" t="inlineStr">
        <is>
          <t>Status</t>
        </is>
      </c>
      <c r="E4" s="8" t="inlineStr">
        <is>
          <t>Notes / deviations</t>
        </is>
      </c>
    </row>
    <row r="5">
      <c r="A5" s="4" t="inlineStr">
        <is>
          <t>GASB 34 - fund financial statements</t>
        </is>
      </c>
      <c r="B5" s="4" t="inlineStr">
        <is>
          <t>Governmental funds balance sheet: assets, deferred outflows, liabilities, deferred inflows, fund balances; total liabilities, deferred inflows and fund balances equals total assets.</t>
        </is>
      </c>
      <c r="C5" s="4" t="inlineStr">
        <is>
          <t>GF_Balance_Sheet</t>
        </is>
      </c>
      <c r="D5" s="9" t="inlineStr">
        <is>
          <t>Aligned</t>
        </is>
      </c>
      <c r="E5" s="4" t="inlineStr">
        <is>
          <t>General Fund column only (other governmental funds summarized in GF_to_Citywide_Bridge). No deferred outflows exist in the General Fund.</t>
        </is>
      </c>
    </row>
    <row r="6">
      <c r="A6" s="4" t="inlineStr">
        <is>
          <t>GASB 34 - statement of revenues, expenditures and changes in fund balances</t>
        </is>
      </c>
      <c r="B6" s="4" t="inlineStr">
        <is>
          <t>Revenues by source; expenditures by function (current, capital outlay, debt service principal/interest); excess (deficiency); other financing sources (uses); special items; net change; beginning and ending fund balance.</t>
        </is>
      </c>
      <c r="C6" s="4" t="inlineStr">
        <is>
          <t>GF_Operating_Statement</t>
        </is>
      </c>
      <c r="D6" s="9" t="inlineStr">
        <is>
          <t>Aligned</t>
        </is>
      </c>
      <c r="E6" s="4" t="inlineStr">
        <is>
          <t>Category names standardized across years because the City changed its captions in FY2022 (see GF_Budget_Detail for lines as printed).</t>
        </is>
      </c>
    </row>
    <row r="7">
      <c r="A7" s="4" t="inlineStr">
        <is>
          <t>GASB 54 - fund balance classification</t>
        </is>
      </c>
      <c r="B7" s="4" t="inlineStr">
        <is>
          <t>Nonspendable, restricted, committed, assigned, unassigned.</t>
        </is>
      </c>
      <c r="C7" s="4" t="inlineStr">
        <is>
          <t>GF_Balance_Sheet; Stat_Trends Schedule 2</t>
        </is>
      </c>
      <c r="D7" s="9" t="inlineStr">
        <is>
          <t>Aligned</t>
        </is>
      </c>
      <c r="E7" s="4" t="inlineStr">
        <is>
          <t>Committed is shown although El Cerrito reports none. The Emergency Disaster Relief reserve is shown as unassigned, as the City reports it.</t>
        </is>
      </c>
    </row>
    <row r="8">
      <c r="A8" s="4" t="inlineStr">
        <is>
          <t>GASB 100 - accounting changes and error corrections</t>
        </is>
      </c>
      <c r="B8" s="4" t="inlineStr">
        <is>
          <t>Display adjustments to beginning balances separately (as previously reported, adjustment, as restated).</t>
        </is>
      </c>
      <c r="C8" s="4" t="inlineStr">
        <is>
          <t>GF_Operating_Statement (fund balance section)</t>
        </is>
      </c>
      <c r="D8" s="9" t="inlineStr">
        <is>
          <t>Aligned</t>
        </is>
      </c>
      <c r="E8" s="4" t="inlineStr">
        <is>
          <t>FY2017, FY2020, FY2023, FY2024 adjustments shown with source comments. GASB 100 applies from FY2024; earlier years are presented the same way for comparability.</t>
        </is>
      </c>
    </row>
    <row r="9">
      <c r="A9" s="4" t="inlineStr">
        <is>
          <t>GASB 34 / GASB 41 - budgetary comparison (RSI)</t>
        </is>
      </c>
      <c r="B9" s="4" t="inlineStr">
        <is>
          <t>General Fund: original budget, final budget, actual on the budgetary basis; variance with final budget encouraged; basis disclosed.</t>
        </is>
      </c>
      <c r="C9" s="4" t="inlineStr">
        <is>
          <t>GF_Budget_Variance</t>
        </is>
      </c>
      <c r="D9" s="9" t="inlineStr">
        <is>
          <t>Aligned</t>
        </is>
      </c>
      <c r="E9" s="4" t="inlineStr">
        <is>
          <t>City budgets on a GAAP basis (ACFR 'Budget and Actual (GAAP Basis)'). FY2026 is on the City's budget-report basis and flagged.</t>
        </is>
      </c>
    </row>
    <row r="10">
      <c r="A10" s="4" t="inlineStr">
        <is>
          <t>GASB 103 - financial reporting model improvements (FY2026+)</t>
        </is>
      </c>
      <c r="B10" s="4" t="inlineStr">
        <is>
          <t>Budgetary comparison as RSI with separate columns for original-to-final and final-to-actual variances; notes explaining significant variances; 'unusual or infrequent items' replaces special/extraordinary items.</t>
        </is>
      </c>
      <c r="C10" s="4" t="inlineStr">
        <is>
          <t>GF_Budget_Variance columns E-F and I; GF_Variance_Notes; GF_Operating_Statement</t>
        </is>
      </c>
      <c r="D10" s="10" t="inlineStr">
        <is>
          <t>Partial</t>
        </is>
      </c>
      <c r="E10" s="4" t="inlineStr">
        <is>
          <t>Both variance columns are present for all years (early application). GF_Variance_Notes explains the major variances FY2019-FY2026 from public sources; smaller flagged lines have no public explanation. 'Special items' caption retained for audited years, with a GASB 103 note.</t>
        </is>
      </c>
    </row>
    <row r="11">
      <c r="A11" s="4" t="inlineStr">
        <is>
          <t>GASB legal level of budgetary control (GFOA)</t>
        </is>
      </c>
      <c r="B11" s="4" t="inlineStr">
        <is>
          <t>Budgetary comparisons at the legal level of control.</t>
        </is>
      </c>
      <c r="C11" s="4" t="inlineStr">
        <is>
          <t>GF_Budget_Variance</t>
        </is>
      </c>
      <c r="D11" s="9" t="inlineStr">
        <is>
          <t>Aligned</t>
        </is>
      </c>
      <c r="E11" s="4" t="inlineStr">
        <is>
          <t>El Cerrito's legal level of budgetary control is the fund level (FY2025 ACFR budgetary note), so the fund totals meet this; category detail is supplementary.</t>
        </is>
      </c>
    </row>
    <row r="12">
      <c r="A12" s="4" t="inlineStr">
        <is>
          <t>GASB 34 - government-wide statement of net position</t>
        </is>
      </c>
      <c r="B12" s="4" t="inlineStr">
        <is>
          <t>Assets, deferred outflows, liabilities, deferred inflows; net position as net investment in capital assets, restricted, unrestricted; long-term liabilities split due within / beyond one year.</t>
        </is>
      </c>
      <c r="C12" s="4" t="inlineStr">
        <is>
          <t>CW_Net_Position</t>
        </is>
      </c>
      <c r="D12" s="9" t="inlineStr">
        <is>
          <t>Aligned</t>
        </is>
      </c>
      <c r="E12" s="4" t="inlineStr">
        <is>
          <t>Liabilities by type with a separate due-within / due-beyond one-year section (bottom of tab). Governmental activities column only.</t>
        </is>
      </c>
    </row>
    <row r="13">
      <c r="A13" s="4" t="inlineStr">
        <is>
          <t>GASB 34 - statement of activities</t>
        </is>
      </c>
      <c r="B13" s="4" t="inlineStr">
        <is>
          <t>Expenses by function, program revenues, general revenues, change in net position.</t>
        </is>
      </c>
      <c r="C13" s="4" t="inlineStr">
        <is>
          <t>CW_Statement_of_Activities</t>
        </is>
      </c>
      <c r="D13" s="9" t="inlineStr">
        <is>
          <t>Aligned</t>
        </is>
      </c>
      <c r="E13" s="4" t="inlineStr">
        <is>
          <t>Expenses, program revenues (charges, operating and capital grants) and net (expense) revenue by function, general revenues, change in net position and restatements, FY2014-FY2025. Grants by function come from each year's basic statement.</t>
        </is>
      </c>
    </row>
    <row r="14">
      <c r="A14" s="4" t="inlineStr">
        <is>
          <t>GASB 34 - reconciliation of fund balance to net position</t>
        </is>
      </c>
      <c r="B14" s="4" t="inlineStr">
        <is>
          <t>Reconcile total governmental fund balances to governmental activities net position.</t>
        </is>
      </c>
      <c r="C14" s="4" t="inlineStr">
        <is>
          <t>GF_to_Citywide_Bridge</t>
        </is>
      </c>
      <c r="D14" s="9" t="inlineStr">
        <is>
          <t>Aligned</t>
        </is>
      </c>
      <c r="E14" s="4" t="inlineStr">
        <is>
          <t>Starts from the General Fund and adds other funds; the bottom section reproduces each year's ACFR reconciliation line by line (capital assets, internal service fund, unavailable revenue, interest, deferrals, debt, leave, claims, OPEB, pension) and ties to net position.</t>
        </is>
      </c>
    </row>
    <row r="15">
      <c r="A15" s="4" t="inlineStr">
        <is>
          <t>GASB 9 - statement of cash flows</t>
        </is>
      </c>
      <c r="B15" s="4" t="inlineStr">
        <is>
          <t>Required for proprietary funds only (operating, noncapital financing, capital and related financing, investing).</t>
        </is>
      </c>
      <c r="C15" s="4" t="inlineStr">
        <is>
          <t>GF_Cash_Flow_Derived</t>
        </is>
      </c>
      <c r="D15" s="11" t="inlineStr">
        <is>
          <t>Supplementary</t>
        </is>
      </c>
      <c r="E15" s="4" t="inlineStr">
        <is>
          <t>Not a GASB requirement for governmental funds; reconstructed using GASB 9 categories and labelled as derived/unaudited.</t>
        </is>
      </c>
    </row>
    <row r="16">
      <c r="A16" s="4" t="inlineStr">
        <is>
          <t>GASB 44 - statistical section</t>
        </is>
      </c>
      <c r="B16" s="4" t="inlineStr">
        <is>
          <t>Ten-year trend schedules: financial trends, revenue capacity, debt capacity, demographic/economic, operating information; debt ratios per capita and to personal income; debt service ratio.</t>
        </is>
      </c>
      <c r="C16" s="4" t="inlineStr">
        <is>
          <t>Stat_Trends; Stat_Revenue_Operating; Stat_Debt_Capacity</t>
        </is>
      </c>
      <c r="D16" s="9" t="inlineStr">
        <is>
          <t>Aligned</t>
        </is>
      </c>
      <c r="E16" s="4" t="inlineStr">
        <is>
          <t>All five GASB 44 categories: financial trends, revenue capacity (assessed value, rates, levies, taxpayers), debt capacity (ratios, coverage, legal margin, overlapping debt), demographic/economic (population, income, employers) and operating information (FTEs, indicators). Gaps only where the ACFR itself has none (e.g. employers nine years ago).</t>
        </is>
      </c>
    </row>
    <row r="17">
      <c r="A17" s="4" t="inlineStr">
        <is>
          <t>GASB 68 / 75 - pension and OPEB</t>
        </is>
      </c>
      <c r="B17" s="4" t="inlineStr">
        <is>
          <t>Net pension/OPEB liability and deferrals on the government-wide statements; ten-year RSI schedules of changes in liability and contributions.</t>
        </is>
      </c>
      <c r="C17" s="4" t="inlineStr">
        <is>
          <t>CW_Pension_OPEB; CW_Net_Position; CW_LT_Liabilities</t>
        </is>
      </c>
      <c r="D17" s="9" t="inlineStr">
        <is>
          <t>Aligned</t>
        </is>
      </c>
      <c r="E17" s="4" t="inlineStr">
        <is>
          <t>Ten-year GASB 68 schedules for both CalPERS plans, plus CalPERS funding valuations 2015-2025 (funded ratio, UAL, payroll), required/projected contributions to FY2032-33 and risk measures. GASB-basis funded ratio after FY2021 is not published; the CalPERS funding-basis ratio is shown instead.</t>
        </is>
      </c>
    </row>
    <row r="18">
      <c r="A18" s="4" t="inlineStr">
        <is>
          <t>GASB 87 / 96 - leases and subscriptions</t>
        </is>
      </c>
      <c r="B18" s="4" t="inlineStr">
        <is>
          <t>Lease and subscription liabilities reported as long-term debt.</t>
        </is>
      </c>
      <c r="C18" s="4" t="inlineStr">
        <is>
          <t>CW_LT_Liabilities</t>
        </is>
      </c>
      <c r="D18" s="9" t="inlineStr">
        <is>
          <t>Aligned</t>
        </is>
      </c>
      <c r="E18" s="4" t="inlineStr">
        <is>
          <t>Shown on a separate line from FY2022.</t>
        </is>
      </c>
    </row>
    <row r="19">
      <c r="A19" s="4" t="inlineStr">
        <is>
          <t>GFOA - trend analysis best practice</t>
        </is>
      </c>
      <c r="B19" s="4" t="inlineStr">
        <is>
          <t>Use 5-10 years of history; flag one-time items and outliers; disclose any constant-dollar adjustments.</t>
        </is>
      </c>
      <c r="C19" s="4" t="inlineStr">
        <is>
          <t>All GF_ and Stat_ tabs</t>
        </is>
      </c>
      <c r="D19" s="10" t="inlineStr">
        <is>
          <t>Partial</t>
        </is>
      </c>
      <c r="E19" s="4" t="inlineStr">
        <is>
          <t>Twelve audited years (GFOA suggests no more than ten). Nominal dollars, no inflation adjustment. One-time items flagged in cell comments.</t>
        </is>
      </c>
    </row>
    <row r="20">
      <c r="A20" s="4" t="inlineStr">
        <is>
          <t>Unaudited / preliminary data</t>
        </is>
      </c>
      <c r="B20" s="4" t="inlineStr">
        <is>
          <t>Clearly distinguish unaudited figures from audited statements.</t>
        </is>
      </c>
      <c r="C20" s="4" t="inlineStr">
        <is>
          <t>FY2026 columns and blocks</t>
        </is>
      </c>
      <c r="D20" s="9" t="inlineStr">
        <is>
          <t>Aligned</t>
        </is>
      </c>
      <c r="E20" s="4" t="inlineStr">
        <is>
          <t>Orange shading, 'UNAUDITED' labels, separate cumulative totals with and without FY2026.</t>
        </is>
      </c>
    </row>
    <row r="21">
      <c r="A21" s="2" t="n"/>
      <c r="B21" s="2" t="n"/>
      <c r="C21" s="2" t="n"/>
      <c r="D21" s="2" t="n"/>
      <c r="E21" s="2" t="n"/>
    </row>
    <row r="22">
      <c r="A22" s="12" t="inlineStr">
        <is>
          <t>Templates and references</t>
        </is>
      </c>
      <c r="B22" s="2" t="n"/>
      <c r="C22" s="2" t="n"/>
      <c r="D22" s="2" t="n"/>
      <c r="E22" s="2" t="n"/>
    </row>
    <row r="23">
      <c r="A23" s="13" t="inlineStr">
        <is>
          <t>El Cerrito FY2025 ACFR template pages</t>
        </is>
      </c>
      <c r="B23" s="14" t="inlineStr">
        <is>
          <t>../templates/ElCerrito_FY2025_ACFR_reference_pages.pdf: Statement of Net Position, governmental funds balance sheet, reconciliation, statement of revenues/expenditures, General Fund budgetary comparison, Statistical Tables 1, 3, 4, 10, 13.</t>
        </is>
      </c>
      <c r="C23" s="2" t="n"/>
      <c r="D23" s="2" t="n"/>
      <c r="E23" s="2" t="n"/>
    </row>
    <row r="24">
      <c r="A24" s="13" t="inlineStr">
        <is>
          <t>GASB 103 summaries</t>
        </is>
      </c>
      <c r="B24" s="14" t="inlineStr">
        <is>
          <t>https://weaver.com/resources/are-you-ready-to-implement-the-new-gasb-103-financial-reporting-model-improvements ; https://blog.becpas.com/navigating-gasb-103-key-changes-to-the-financial-reporting-model</t>
        </is>
      </c>
      <c r="C24" s="2" t="n"/>
      <c r="D24" s="2" t="n"/>
      <c r="E24" s="2" t="n"/>
    </row>
    <row r="25">
      <c r="A25" s="13" t="inlineStr">
        <is>
          <t>GASB 100 summary</t>
        </is>
      </c>
      <c r="B25" s="14" t="inlineStr">
        <is>
          <t>https://rsmus.com/insights/financial-reporting/gasb-revises-requirements-for-accounting-changes-and-error-corre.html</t>
        </is>
      </c>
      <c r="C25" s="2" t="n"/>
      <c r="D25" s="2" t="n"/>
      <c r="E25" s="2" t="n"/>
    </row>
    <row r="26">
      <c r="A26" s="13" t="inlineStr">
        <is>
          <t>GASB 44 statistical section guide</t>
        </is>
      </c>
      <c r="B26" s="14" t="inlineStr">
        <is>
          <t>https://www.nj.gov/education/finance/fp/acfr/statguide.pdf</t>
        </is>
      </c>
      <c r="C26" s="2" t="n"/>
      <c r="D26" s="2" t="n"/>
      <c r="E26" s="2" t="n"/>
    </row>
    <row r="27">
      <c r="A27" s="13" t="inlineStr">
        <is>
          <t>CalPERS valuation reports</t>
        </is>
      </c>
      <c r="B27" s="14" t="inlineStr">
        <is>
          <t>https://www.calpers.ca.gov/documents/el-cerrito-city-miscellaneous-2025/download ; https://www.calpers.ca.gov/documents/el-cerrito-city-safety-fire-2025/download (2024 versions at the same address with -2024)</t>
        </is>
      </c>
      <c r="C27" s="2" t="n"/>
      <c r="D27" s="2" t="n"/>
      <c r="E27" s="2" t="n"/>
    </row>
    <row r="28">
      <c r="A28" s="13" t="inlineStr">
        <is>
          <t>GFOA budget-to-actual guidance</t>
        </is>
      </c>
      <c r="B28" s="14" t="inlineStr">
        <is>
          <t>https://gfoa.org/materials/retaining-budget-to-actual-comparisons-within-the-audited</t>
        </is>
      </c>
      <c r="C28" s="2" t="n"/>
      <c r="D28" s="2" t="n"/>
      <c r="E28" s="2" t="n"/>
    </row>
  </sheetData>
  <mergeCells count="6">
    <mergeCell ref="B26:E26"/>
    <mergeCell ref="B23:E23"/>
    <mergeCell ref="B27:E27"/>
    <mergeCell ref="B25:E25"/>
    <mergeCell ref="B24:E24"/>
    <mergeCell ref="B28:E28"/>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N6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5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City of El Cerrito - GENERAL FUND ONLY</t>
        </is>
      </c>
      <c r="B1" s="2" t="n"/>
      <c r="C1" s="2" t="n"/>
      <c r="D1" s="2" t="n"/>
      <c r="E1" s="2" t="n"/>
      <c r="F1" s="2" t="n"/>
      <c r="G1" s="2" t="n"/>
      <c r="H1" s="2" t="n"/>
      <c r="I1" s="2" t="n"/>
      <c r="J1" s="2" t="n"/>
      <c r="K1" s="2" t="n"/>
      <c r="L1" s="2" t="n"/>
      <c r="M1" s="2" t="n"/>
      <c r="N1" s="2" t="n"/>
    </row>
    <row r="2">
      <c r="A2" s="12" t="inlineStr">
        <is>
          <t>Statement of Revenues, Expenditures and Changes in Fund Balance (the government 'P&amp;L'), actuals, $</t>
        </is>
      </c>
      <c r="B2" s="2" t="n"/>
      <c r="C2" s="2" t="n"/>
      <c r="D2" s="2" t="n"/>
      <c r="E2" s="2" t="n"/>
      <c r="F2" s="2" t="n"/>
      <c r="G2" s="2" t="n"/>
      <c r="H2" s="2" t="n"/>
      <c r="I2" s="2" t="n"/>
      <c r="J2" s="2" t="n"/>
      <c r="K2" s="2" t="n"/>
      <c r="L2" s="2" t="n"/>
      <c r="M2" s="2" t="n"/>
      <c r="N2" s="2" t="n"/>
    </row>
    <row r="3">
      <c r="A3" s="7" t="inlineStr">
        <is>
          <t>Modified-accrual basis. FY2014-FY2025 audited; FY2026* UNAUDITED (Q4 update, budget-report basis - see Notes). Each figure is a SUMIFS on GF_Budget_Detail. Taxes and Police/Fire are reported combined from FY2022.</t>
        </is>
      </c>
      <c r="B3" s="2" t="n"/>
      <c r="C3" s="2" t="n"/>
      <c r="D3" s="2" t="n"/>
      <c r="E3" s="2" t="n"/>
      <c r="F3" s="2" t="n"/>
      <c r="G3" s="2" t="n"/>
      <c r="H3" s="2" t="n"/>
      <c r="I3" s="2" t="n"/>
      <c r="J3" s="2" t="n"/>
      <c r="K3" s="2" t="n"/>
      <c r="L3" s="2" t="n"/>
      <c r="M3" s="2" t="n"/>
      <c r="N3" s="2" t="n"/>
    </row>
    <row r="4">
      <c r="A4" s="2" t="n"/>
      <c r="B4" s="2" t="n"/>
      <c r="C4" s="2" t="n"/>
      <c r="D4" s="2" t="n"/>
      <c r="E4" s="2" t="n"/>
      <c r="F4" s="2" t="n"/>
      <c r="G4" s="2" t="n"/>
      <c r="H4" s="2" t="n"/>
      <c r="I4" s="2" t="n"/>
      <c r="J4" s="2" t="n"/>
      <c r="K4" s="2" t="n"/>
      <c r="L4" s="2" t="n"/>
      <c r="M4" s="2" t="n"/>
      <c r="N4" s="2" t="n"/>
    </row>
    <row r="5">
      <c r="A5" s="2" t="n"/>
      <c r="B5" s="2" t="n"/>
      <c r="C5" s="2" t="n"/>
      <c r="D5" s="2" t="n"/>
      <c r="E5" s="2" t="n"/>
      <c r="F5" s="2" t="n"/>
      <c r="G5" s="2" t="n"/>
      <c r="H5" s="2" t="n"/>
      <c r="I5" s="2" t="n"/>
      <c r="J5" s="2" t="n"/>
      <c r="K5" s="2" t="n"/>
      <c r="L5" s="2" t="n"/>
      <c r="M5" s="2" t="n"/>
      <c r="N5" s="15" t="inlineStr">
        <is>
          <t>UNAUDITED</t>
        </is>
      </c>
    </row>
    <row r="6">
      <c r="A6" s="16" t="inlineStr">
        <is>
          <t>Fiscal year ended June 30</t>
        </is>
      </c>
      <c r="B6" s="17" t="n">
        <v>2014</v>
      </c>
      <c r="C6" s="17" t="n">
        <v>2015</v>
      </c>
      <c r="D6" s="17" t="n">
        <v>2016</v>
      </c>
      <c r="E6" s="17" t="n">
        <v>2017</v>
      </c>
      <c r="F6" s="17" t="n">
        <v>2018</v>
      </c>
      <c r="G6" s="17" t="n">
        <v>2019</v>
      </c>
      <c r="H6" s="17" t="n">
        <v>2020</v>
      </c>
      <c r="I6" s="17" t="n">
        <v>2021</v>
      </c>
      <c r="J6" s="17" t="n">
        <v>2022</v>
      </c>
      <c r="K6" s="17" t="n">
        <v>2023</v>
      </c>
      <c r="L6" s="17" t="n">
        <v>2024</v>
      </c>
      <c r="M6" s="17" t="n">
        <v>2025</v>
      </c>
      <c r="N6" s="18" t="n">
        <v>2026</v>
      </c>
    </row>
    <row r="7">
      <c r="A7" s="19" t="inlineStr">
        <is>
          <t>REVENUES</t>
        </is>
      </c>
      <c r="B7" s="20" t="n"/>
      <c r="C7" s="20" t="n"/>
      <c r="D7" s="20" t="n"/>
      <c r="E7" s="20" t="n"/>
      <c r="F7" s="20" t="n"/>
      <c r="G7" s="20" t="n"/>
      <c r="H7" s="20" t="n"/>
      <c r="I7" s="20" t="n"/>
      <c r="J7" s="20" t="n"/>
      <c r="K7" s="20" t="n"/>
      <c r="L7" s="20" t="n"/>
      <c r="M7" s="20" t="n"/>
      <c r="N7" s="20" t="n"/>
    </row>
    <row r="8">
      <c r="A8" s="21" t="inlineStr">
        <is>
          <t>Property taxes</t>
        </is>
      </c>
      <c r="B8" s="22">
        <f>SUMIFS(GF_Budget_Detail!$G$5:$G$295,GF_Budget_Detail!$A$5:$A$295,B$6,GF_Budget_Detail!$D$5:$D$295,"Property taxes")</f>
        <v/>
      </c>
      <c r="C8" s="22">
        <f>SUMIFS(GF_Budget_Detail!$G$5:$G$295,GF_Budget_Detail!$A$5:$A$295,C$6,GF_Budget_Detail!$D$5:$D$295,"Property taxes")</f>
        <v/>
      </c>
      <c r="D8" s="22">
        <f>SUMIFS(GF_Budget_Detail!$G$5:$G$295,GF_Budget_Detail!$A$5:$A$295,D$6,GF_Budget_Detail!$D$5:$D$295,"Property taxes")</f>
        <v/>
      </c>
      <c r="E8" s="22">
        <f>SUMIFS(GF_Budget_Detail!$G$5:$G$295,GF_Budget_Detail!$A$5:$A$295,E$6,GF_Budget_Detail!$D$5:$D$295,"Property taxes")</f>
        <v/>
      </c>
      <c r="F8" s="22">
        <f>SUMIFS(GF_Budget_Detail!$G$5:$G$295,GF_Budget_Detail!$A$5:$A$295,F$6,GF_Budget_Detail!$D$5:$D$295,"Property taxes")</f>
        <v/>
      </c>
      <c r="G8" s="22">
        <f>SUMIFS(GF_Budget_Detail!$G$5:$G$295,GF_Budget_Detail!$A$5:$A$295,G$6,GF_Budget_Detail!$D$5:$D$295,"Property taxes")</f>
        <v/>
      </c>
      <c r="H8" s="22">
        <f>SUMIFS(GF_Budget_Detail!$G$5:$G$295,GF_Budget_Detail!$A$5:$A$295,H$6,GF_Budget_Detail!$D$5:$D$295,"Property taxes")</f>
        <v/>
      </c>
      <c r="I8" s="22">
        <f>SUMIFS(GF_Budget_Detail!$G$5:$G$295,GF_Budget_Detail!$A$5:$A$295,I$6,GF_Budget_Detail!$D$5:$D$295,"Property taxes")</f>
        <v/>
      </c>
      <c r="J8" s="22">
        <f>SUMIFS(GF_Budget_Detail!$G$5:$G$295,GF_Budget_Detail!$A$5:$A$295,J$6,GF_Budget_Detail!$D$5:$D$295,"Property taxes")</f>
        <v/>
      </c>
      <c r="K8" s="22">
        <f>SUMIFS(GF_Budget_Detail!$G$5:$G$295,GF_Budget_Detail!$A$5:$A$295,K$6,GF_Budget_Detail!$D$5:$D$295,"Property taxes")</f>
        <v/>
      </c>
      <c r="L8" s="22">
        <f>SUMIFS(GF_Budget_Detail!$G$5:$G$295,GF_Budget_Detail!$A$5:$A$295,L$6,GF_Budget_Detail!$D$5:$D$295,"Property taxes")</f>
        <v/>
      </c>
      <c r="M8" s="22">
        <f>SUMIFS(GF_Budget_Detail!$G$5:$G$295,GF_Budget_Detail!$A$5:$A$295,M$6,GF_Budget_Detail!$D$5:$D$295,"Property taxes")</f>
        <v/>
      </c>
      <c r="N8" s="23">
        <f>SUMIFS(GF_Budget_Detail!$G$5:$G$295,GF_Budget_Detail!$A$5:$A$295,N$6,GF_Budget_Detail!$D$5:$D$295,"Property taxes")</f>
        <v/>
      </c>
    </row>
    <row r="9">
      <c r="A9" s="21" t="inlineStr">
        <is>
          <t>Taxes other than property</t>
        </is>
      </c>
      <c r="B9" s="22">
        <f>SUMIFS(GF_Budget_Detail!$G$5:$G$295,GF_Budget_Detail!$A$5:$A$295,B$6,GF_Budget_Detail!$D$5:$D$295,"Taxes other than property")</f>
        <v/>
      </c>
      <c r="C9" s="22">
        <f>SUMIFS(GF_Budget_Detail!$G$5:$G$295,GF_Budget_Detail!$A$5:$A$295,C$6,GF_Budget_Detail!$D$5:$D$295,"Taxes other than property")</f>
        <v/>
      </c>
      <c r="D9" s="22">
        <f>SUMIFS(GF_Budget_Detail!$G$5:$G$295,GF_Budget_Detail!$A$5:$A$295,D$6,GF_Budget_Detail!$D$5:$D$295,"Taxes other than property")</f>
        <v/>
      </c>
      <c r="E9" s="22">
        <f>SUMIFS(GF_Budget_Detail!$G$5:$G$295,GF_Budget_Detail!$A$5:$A$295,E$6,GF_Budget_Detail!$D$5:$D$295,"Taxes other than property")</f>
        <v/>
      </c>
      <c r="F9" s="22">
        <f>SUMIFS(GF_Budget_Detail!$G$5:$G$295,GF_Budget_Detail!$A$5:$A$295,F$6,GF_Budget_Detail!$D$5:$D$295,"Taxes other than property")</f>
        <v/>
      </c>
      <c r="G9" s="22">
        <f>SUMIFS(GF_Budget_Detail!$G$5:$G$295,GF_Budget_Detail!$A$5:$A$295,G$6,GF_Budget_Detail!$D$5:$D$295,"Taxes other than property")</f>
        <v/>
      </c>
      <c r="H9" s="22">
        <f>SUMIFS(GF_Budget_Detail!$G$5:$G$295,GF_Budget_Detail!$A$5:$A$295,H$6,GF_Budget_Detail!$D$5:$D$295,"Taxes other than property")</f>
        <v/>
      </c>
      <c r="I9" s="22">
        <f>SUMIFS(GF_Budget_Detail!$G$5:$G$295,GF_Budget_Detail!$A$5:$A$295,I$6,GF_Budget_Detail!$D$5:$D$295,"Taxes other than property")</f>
        <v/>
      </c>
      <c r="J9" s="22">
        <f>SUMIFS(GF_Budget_Detail!$G$5:$G$295,GF_Budget_Detail!$A$5:$A$295,J$6,GF_Budget_Detail!$D$5:$D$295,"Taxes other than property")</f>
        <v/>
      </c>
      <c r="K9" s="22">
        <f>SUMIFS(GF_Budget_Detail!$G$5:$G$295,GF_Budget_Detail!$A$5:$A$295,K$6,GF_Budget_Detail!$D$5:$D$295,"Taxes other than property")</f>
        <v/>
      </c>
      <c r="L9" s="22">
        <f>SUMIFS(GF_Budget_Detail!$G$5:$G$295,GF_Budget_Detail!$A$5:$A$295,L$6,GF_Budget_Detail!$D$5:$D$295,"Taxes other than property")</f>
        <v/>
      </c>
      <c r="M9" s="22">
        <f>SUMIFS(GF_Budget_Detail!$G$5:$G$295,GF_Budget_Detail!$A$5:$A$295,M$6,GF_Budget_Detail!$D$5:$D$295,"Taxes other than property")</f>
        <v/>
      </c>
      <c r="N9" s="23">
        <f>SUMIFS(GF_Budget_Detail!$G$5:$G$295,GF_Budget_Detail!$A$5:$A$295,N$6,GF_Budget_Detail!$D$5:$D$295,"Taxes other than property")</f>
        <v/>
      </c>
    </row>
    <row r="10">
      <c r="A10" s="21" t="inlineStr">
        <is>
          <t>Taxes and assessments (combined)</t>
        </is>
      </c>
      <c r="B10" s="22">
        <f>SUMIFS(GF_Budget_Detail!$G$5:$G$295,GF_Budget_Detail!$A$5:$A$295,B$6,GF_Budget_Detail!$D$5:$D$295,"Taxes and assessments (combined)")</f>
        <v/>
      </c>
      <c r="C10" s="22">
        <f>SUMIFS(GF_Budget_Detail!$G$5:$G$295,GF_Budget_Detail!$A$5:$A$295,C$6,GF_Budget_Detail!$D$5:$D$295,"Taxes and assessments (combined)")</f>
        <v/>
      </c>
      <c r="D10" s="22">
        <f>SUMIFS(GF_Budget_Detail!$G$5:$G$295,GF_Budget_Detail!$A$5:$A$295,D$6,GF_Budget_Detail!$D$5:$D$295,"Taxes and assessments (combined)")</f>
        <v/>
      </c>
      <c r="E10" s="22">
        <f>SUMIFS(GF_Budget_Detail!$G$5:$G$295,GF_Budget_Detail!$A$5:$A$295,E$6,GF_Budget_Detail!$D$5:$D$295,"Taxes and assessments (combined)")</f>
        <v/>
      </c>
      <c r="F10" s="22">
        <f>SUMIFS(GF_Budget_Detail!$G$5:$G$295,GF_Budget_Detail!$A$5:$A$295,F$6,GF_Budget_Detail!$D$5:$D$295,"Taxes and assessments (combined)")</f>
        <v/>
      </c>
      <c r="G10" s="22">
        <f>SUMIFS(GF_Budget_Detail!$G$5:$G$295,GF_Budget_Detail!$A$5:$A$295,G$6,GF_Budget_Detail!$D$5:$D$295,"Taxes and assessments (combined)")</f>
        <v/>
      </c>
      <c r="H10" s="22">
        <f>SUMIFS(GF_Budget_Detail!$G$5:$G$295,GF_Budget_Detail!$A$5:$A$295,H$6,GF_Budget_Detail!$D$5:$D$295,"Taxes and assessments (combined)")</f>
        <v/>
      </c>
      <c r="I10" s="22">
        <f>SUMIFS(GF_Budget_Detail!$G$5:$G$295,GF_Budget_Detail!$A$5:$A$295,I$6,GF_Budget_Detail!$D$5:$D$295,"Taxes and assessments (combined)")</f>
        <v/>
      </c>
      <c r="J10" s="22">
        <f>SUMIFS(GF_Budget_Detail!$G$5:$G$295,GF_Budget_Detail!$A$5:$A$295,J$6,GF_Budget_Detail!$D$5:$D$295,"Taxes and assessments (combined)")</f>
        <v/>
      </c>
      <c r="K10" s="22">
        <f>SUMIFS(GF_Budget_Detail!$G$5:$G$295,GF_Budget_Detail!$A$5:$A$295,K$6,GF_Budget_Detail!$D$5:$D$295,"Taxes and assessments (combined)")</f>
        <v/>
      </c>
      <c r="L10" s="22">
        <f>SUMIFS(GF_Budget_Detail!$G$5:$G$295,GF_Budget_Detail!$A$5:$A$295,L$6,GF_Budget_Detail!$D$5:$D$295,"Taxes and assessments (combined)")</f>
        <v/>
      </c>
      <c r="M10" s="22">
        <f>SUMIFS(GF_Budget_Detail!$G$5:$G$295,GF_Budget_Detail!$A$5:$A$295,M$6,GF_Budget_Detail!$D$5:$D$295,"Taxes and assessments (combined)")</f>
        <v/>
      </c>
      <c r="N10" s="23">
        <f>SUMIFS(GF_Budget_Detail!$G$5:$G$295,GF_Budget_Detail!$A$5:$A$295,N$6,GF_Budget_Detail!$D$5:$D$295,"Taxes and assessments (combined)")</f>
        <v/>
      </c>
    </row>
    <row r="11">
      <c r="A11" s="21" t="inlineStr">
        <is>
          <t>Licenses and permits</t>
        </is>
      </c>
      <c r="B11" s="22">
        <f>SUMIFS(GF_Budget_Detail!$G$5:$G$295,GF_Budget_Detail!$A$5:$A$295,B$6,GF_Budget_Detail!$D$5:$D$295,"Licenses and permits")</f>
        <v/>
      </c>
      <c r="C11" s="22">
        <f>SUMIFS(GF_Budget_Detail!$G$5:$G$295,GF_Budget_Detail!$A$5:$A$295,C$6,GF_Budget_Detail!$D$5:$D$295,"Licenses and permits")</f>
        <v/>
      </c>
      <c r="D11" s="22">
        <f>SUMIFS(GF_Budget_Detail!$G$5:$G$295,GF_Budget_Detail!$A$5:$A$295,D$6,GF_Budget_Detail!$D$5:$D$295,"Licenses and permits")</f>
        <v/>
      </c>
      <c r="E11" s="22">
        <f>SUMIFS(GF_Budget_Detail!$G$5:$G$295,GF_Budget_Detail!$A$5:$A$295,E$6,GF_Budget_Detail!$D$5:$D$295,"Licenses and permits")</f>
        <v/>
      </c>
      <c r="F11" s="22">
        <f>SUMIFS(GF_Budget_Detail!$G$5:$G$295,GF_Budget_Detail!$A$5:$A$295,F$6,GF_Budget_Detail!$D$5:$D$295,"Licenses and permits")</f>
        <v/>
      </c>
      <c r="G11" s="22">
        <f>SUMIFS(GF_Budget_Detail!$G$5:$G$295,GF_Budget_Detail!$A$5:$A$295,G$6,GF_Budget_Detail!$D$5:$D$295,"Licenses and permits")</f>
        <v/>
      </c>
      <c r="H11" s="22">
        <f>SUMIFS(GF_Budget_Detail!$G$5:$G$295,GF_Budget_Detail!$A$5:$A$295,H$6,GF_Budget_Detail!$D$5:$D$295,"Licenses and permits")</f>
        <v/>
      </c>
      <c r="I11" s="22">
        <f>SUMIFS(GF_Budget_Detail!$G$5:$G$295,GF_Budget_Detail!$A$5:$A$295,I$6,GF_Budget_Detail!$D$5:$D$295,"Licenses and permits")</f>
        <v/>
      </c>
      <c r="J11" s="22">
        <f>SUMIFS(GF_Budget_Detail!$G$5:$G$295,GF_Budget_Detail!$A$5:$A$295,J$6,GF_Budget_Detail!$D$5:$D$295,"Licenses and permits")</f>
        <v/>
      </c>
      <c r="K11" s="22">
        <f>SUMIFS(GF_Budget_Detail!$G$5:$G$295,GF_Budget_Detail!$A$5:$A$295,K$6,GF_Budget_Detail!$D$5:$D$295,"Licenses and permits")</f>
        <v/>
      </c>
      <c r="L11" s="22">
        <f>SUMIFS(GF_Budget_Detail!$G$5:$G$295,GF_Budget_Detail!$A$5:$A$295,L$6,GF_Budget_Detail!$D$5:$D$295,"Licenses and permits")</f>
        <v/>
      </c>
      <c r="M11" s="22">
        <f>SUMIFS(GF_Budget_Detail!$G$5:$G$295,GF_Budget_Detail!$A$5:$A$295,M$6,GF_Budget_Detail!$D$5:$D$295,"Licenses and permits")</f>
        <v/>
      </c>
      <c r="N11" s="23">
        <f>SUMIFS(GF_Budget_Detail!$G$5:$G$295,GF_Budget_Detail!$A$5:$A$295,N$6,GF_Budget_Detail!$D$5:$D$295,"Licenses and permits")</f>
        <v/>
      </c>
    </row>
    <row r="12">
      <c r="A12" s="21" t="inlineStr">
        <is>
          <t>Fines and forfeitures</t>
        </is>
      </c>
      <c r="B12" s="22">
        <f>SUMIFS(GF_Budget_Detail!$G$5:$G$295,GF_Budget_Detail!$A$5:$A$295,B$6,GF_Budget_Detail!$D$5:$D$295,"Fines and forfeitures")</f>
        <v/>
      </c>
      <c r="C12" s="22">
        <f>SUMIFS(GF_Budget_Detail!$G$5:$G$295,GF_Budget_Detail!$A$5:$A$295,C$6,GF_Budget_Detail!$D$5:$D$295,"Fines and forfeitures")</f>
        <v/>
      </c>
      <c r="D12" s="22">
        <f>SUMIFS(GF_Budget_Detail!$G$5:$G$295,GF_Budget_Detail!$A$5:$A$295,D$6,GF_Budget_Detail!$D$5:$D$295,"Fines and forfeitures")</f>
        <v/>
      </c>
      <c r="E12" s="22">
        <f>SUMIFS(GF_Budget_Detail!$G$5:$G$295,GF_Budget_Detail!$A$5:$A$295,E$6,GF_Budget_Detail!$D$5:$D$295,"Fines and forfeitures")</f>
        <v/>
      </c>
      <c r="F12" s="22">
        <f>SUMIFS(GF_Budget_Detail!$G$5:$G$295,GF_Budget_Detail!$A$5:$A$295,F$6,GF_Budget_Detail!$D$5:$D$295,"Fines and forfeitures")</f>
        <v/>
      </c>
      <c r="G12" s="22">
        <f>SUMIFS(GF_Budget_Detail!$G$5:$G$295,GF_Budget_Detail!$A$5:$A$295,G$6,GF_Budget_Detail!$D$5:$D$295,"Fines and forfeitures")</f>
        <v/>
      </c>
      <c r="H12" s="22">
        <f>SUMIFS(GF_Budget_Detail!$G$5:$G$295,GF_Budget_Detail!$A$5:$A$295,H$6,GF_Budget_Detail!$D$5:$D$295,"Fines and forfeitures")</f>
        <v/>
      </c>
      <c r="I12" s="22">
        <f>SUMIFS(GF_Budget_Detail!$G$5:$G$295,GF_Budget_Detail!$A$5:$A$295,I$6,GF_Budget_Detail!$D$5:$D$295,"Fines and forfeitures")</f>
        <v/>
      </c>
      <c r="J12" s="22">
        <f>SUMIFS(GF_Budget_Detail!$G$5:$G$295,GF_Budget_Detail!$A$5:$A$295,J$6,GF_Budget_Detail!$D$5:$D$295,"Fines and forfeitures")</f>
        <v/>
      </c>
      <c r="K12" s="22">
        <f>SUMIFS(GF_Budget_Detail!$G$5:$G$295,GF_Budget_Detail!$A$5:$A$295,K$6,GF_Budget_Detail!$D$5:$D$295,"Fines and forfeitures")</f>
        <v/>
      </c>
      <c r="L12" s="22">
        <f>SUMIFS(GF_Budget_Detail!$G$5:$G$295,GF_Budget_Detail!$A$5:$A$295,L$6,GF_Budget_Detail!$D$5:$D$295,"Fines and forfeitures")</f>
        <v/>
      </c>
      <c r="M12" s="22">
        <f>SUMIFS(GF_Budget_Detail!$G$5:$G$295,GF_Budget_Detail!$A$5:$A$295,M$6,GF_Budget_Detail!$D$5:$D$295,"Fines and forfeitures")</f>
        <v/>
      </c>
      <c r="N12" s="23">
        <f>SUMIFS(GF_Budget_Detail!$G$5:$G$295,GF_Budget_Detail!$A$5:$A$295,N$6,GF_Budget_Detail!$D$5:$D$295,"Fines and forfeitures")</f>
        <v/>
      </c>
    </row>
    <row r="13">
      <c r="A13" s="21" t="inlineStr">
        <is>
          <t>Use of money and property</t>
        </is>
      </c>
      <c r="B13" s="22">
        <f>SUMIFS(GF_Budget_Detail!$G$5:$G$295,GF_Budget_Detail!$A$5:$A$295,B$6,GF_Budget_Detail!$D$5:$D$295,"Use of money and property")</f>
        <v/>
      </c>
      <c r="C13" s="22">
        <f>SUMIFS(GF_Budget_Detail!$G$5:$G$295,GF_Budget_Detail!$A$5:$A$295,C$6,GF_Budget_Detail!$D$5:$D$295,"Use of money and property")</f>
        <v/>
      </c>
      <c r="D13" s="22">
        <f>SUMIFS(GF_Budget_Detail!$G$5:$G$295,GF_Budget_Detail!$A$5:$A$295,D$6,GF_Budget_Detail!$D$5:$D$295,"Use of money and property")</f>
        <v/>
      </c>
      <c r="E13" s="22">
        <f>SUMIFS(GF_Budget_Detail!$G$5:$G$295,GF_Budget_Detail!$A$5:$A$295,E$6,GF_Budget_Detail!$D$5:$D$295,"Use of money and property")</f>
        <v/>
      </c>
      <c r="F13" s="22">
        <f>SUMIFS(GF_Budget_Detail!$G$5:$G$295,GF_Budget_Detail!$A$5:$A$295,F$6,GF_Budget_Detail!$D$5:$D$295,"Use of money and property")</f>
        <v/>
      </c>
      <c r="G13" s="22">
        <f>SUMIFS(GF_Budget_Detail!$G$5:$G$295,GF_Budget_Detail!$A$5:$A$295,G$6,GF_Budget_Detail!$D$5:$D$295,"Use of money and property")</f>
        <v/>
      </c>
      <c r="H13" s="22">
        <f>SUMIFS(GF_Budget_Detail!$G$5:$G$295,GF_Budget_Detail!$A$5:$A$295,H$6,GF_Budget_Detail!$D$5:$D$295,"Use of money and property")</f>
        <v/>
      </c>
      <c r="I13" s="22">
        <f>SUMIFS(GF_Budget_Detail!$G$5:$G$295,GF_Budget_Detail!$A$5:$A$295,I$6,GF_Budget_Detail!$D$5:$D$295,"Use of money and property")</f>
        <v/>
      </c>
      <c r="J13" s="22">
        <f>SUMIFS(GF_Budget_Detail!$G$5:$G$295,GF_Budget_Detail!$A$5:$A$295,J$6,GF_Budget_Detail!$D$5:$D$295,"Use of money and property")</f>
        <v/>
      </c>
      <c r="K13" s="22">
        <f>SUMIFS(GF_Budget_Detail!$G$5:$G$295,GF_Budget_Detail!$A$5:$A$295,K$6,GF_Budget_Detail!$D$5:$D$295,"Use of money and property")</f>
        <v/>
      </c>
      <c r="L13" s="22">
        <f>SUMIFS(GF_Budget_Detail!$G$5:$G$295,GF_Budget_Detail!$A$5:$A$295,L$6,GF_Budget_Detail!$D$5:$D$295,"Use of money and property")</f>
        <v/>
      </c>
      <c r="M13" s="22">
        <f>SUMIFS(GF_Budget_Detail!$G$5:$G$295,GF_Budget_Detail!$A$5:$A$295,M$6,GF_Budget_Detail!$D$5:$D$295,"Use of money and property")</f>
        <v/>
      </c>
      <c r="N13" s="23">
        <f>SUMIFS(GF_Budget_Detail!$G$5:$G$295,GF_Budget_Detail!$A$5:$A$295,N$6,GF_Budget_Detail!$D$5:$D$295,"Use of money and property")</f>
        <v/>
      </c>
    </row>
    <row r="14">
      <c r="A14" s="21" t="inlineStr">
        <is>
          <t>Intergovernmental</t>
        </is>
      </c>
      <c r="B14" s="22">
        <f>SUMIFS(GF_Budget_Detail!$G$5:$G$295,GF_Budget_Detail!$A$5:$A$295,B$6,GF_Budget_Detail!$D$5:$D$295,"Intergovernmental")</f>
        <v/>
      </c>
      <c r="C14" s="22">
        <f>SUMIFS(GF_Budget_Detail!$G$5:$G$295,GF_Budget_Detail!$A$5:$A$295,C$6,GF_Budget_Detail!$D$5:$D$295,"Intergovernmental")</f>
        <v/>
      </c>
      <c r="D14" s="22">
        <f>SUMIFS(GF_Budget_Detail!$G$5:$G$295,GF_Budget_Detail!$A$5:$A$295,D$6,GF_Budget_Detail!$D$5:$D$295,"Intergovernmental")</f>
        <v/>
      </c>
      <c r="E14" s="22">
        <f>SUMIFS(GF_Budget_Detail!$G$5:$G$295,GF_Budget_Detail!$A$5:$A$295,E$6,GF_Budget_Detail!$D$5:$D$295,"Intergovernmental")</f>
        <v/>
      </c>
      <c r="F14" s="22">
        <f>SUMIFS(GF_Budget_Detail!$G$5:$G$295,GF_Budget_Detail!$A$5:$A$295,F$6,GF_Budget_Detail!$D$5:$D$295,"Intergovernmental")</f>
        <v/>
      </c>
      <c r="G14" s="22">
        <f>SUMIFS(GF_Budget_Detail!$G$5:$G$295,GF_Budget_Detail!$A$5:$A$295,G$6,GF_Budget_Detail!$D$5:$D$295,"Intergovernmental")</f>
        <v/>
      </c>
      <c r="H14" s="22">
        <f>SUMIFS(GF_Budget_Detail!$G$5:$G$295,GF_Budget_Detail!$A$5:$A$295,H$6,GF_Budget_Detail!$D$5:$D$295,"Intergovernmental")</f>
        <v/>
      </c>
      <c r="I14" s="22">
        <f>SUMIFS(GF_Budget_Detail!$G$5:$G$295,GF_Budget_Detail!$A$5:$A$295,I$6,GF_Budget_Detail!$D$5:$D$295,"Intergovernmental")</f>
        <v/>
      </c>
      <c r="J14" s="22">
        <f>SUMIFS(GF_Budget_Detail!$G$5:$G$295,GF_Budget_Detail!$A$5:$A$295,J$6,GF_Budget_Detail!$D$5:$D$295,"Intergovernmental")</f>
        <v/>
      </c>
      <c r="K14" s="22">
        <f>SUMIFS(GF_Budget_Detail!$G$5:$G$295,GF_Budget_Detail!$A$5:$A$295,K$6,GF_Budget_Detail!$D$5:$D$295,"Intergovernmental")</f>
        <v/>
      </c>
      <c r="L14" s="22">
        <f>SUMIFS(GF_Budget_Detail!$G$5:$G$295,GF_Budget_Detail!$A$5:$A$295,L$6,GF_Budget_Detail!$D$5:$D$295,"Intergovernmental")</f>
        <v/>
      </c>
      <c r="M14" s="22">
        <f>SUMIFS(GF_Budget_Detail!$G$5:$G$295,GF_Budget_Detail!$A$5:$A$295,M$6,GF_Budget_Detail!$D$5:$D$295,"Intergovernmental")</f>
        <v/>
      </c>
      <c r="N14" s="23">
        <f>SUMIFS(GF_Budget_Detail!$G$5:$G$295,GF_Budget_Detail!$A$5:$A$295,N$6,GF_Budget_Detail!$D$5:$D$295,"Intergovernmental")</f>
        <v/>
      </c>
    </row>
    <row r="15">
      <c r="A15" s="21" t="inlineStr">
        <is>
          <t>Charges for services</t>
        </is>
      </c>
      <c r="B15" s="22">
        <f>SUMIFS(GF_Budget_Detail!$G$5:$G$295,GF_Budget_Detail!$A$5:$A$295,B$6,GF_Budget_Detail!$D$5:$D$295,"Charges for services")</f>
        <v/>
      </c>
      <c r="C15" s="22">
        <f>SUMIFS(GF_Budget_Detail!$G$5:$G$295,GF_Budget_Detail!$A$5:$A$295,C$6,GF_Budget_Detail!$D$5:$D$295,"Charges for services")</f>
        <v/>
      </c>
      <c r="D15" s="22">
        <f>SUMIFS(GF_Budget_Detail!$G$5:$G$295,GF_Budget_Detail!$A$5:$A$295,D$6,GF_Budget_Detail!$D$5:$D$295,"Charges for services")</f>
        <v/>
      </c>
      <c r="E15" s="22">
        <f>SUMIFS(GF_Budget_Detail!$G$5:$G$295,GF_Budget_Detail!$A$5:$A$295,E$6,GF_Budget_Detail!$D$5:$D$295,"Charges for services")</f>
        <v/>
      </c>
      <c r="F15" s="22">
        <f>SUMIFS(GF_Budget_Detail!$G$5:$G$295,GF_Budget_Detail!$A$5:$A$295,F$6,GF_Budget_Detail!$D$5:$D$295,"Charges for services")</f>
        <v/>
      </c>
      <c r="G15" s="22">
        <f>SUMIFS(GF_Budget_Detail!$G$5:$G$295,GF_Budget_Detail!$A$5:$A$295,G$6,GF_Budget_Detail!$D$5:$D$295,"Charges for services")</f>
        <v/>
      </c>
      <c r="H15" s="22">
        <f>SUMIFS(GF_Budget_Detail!$G$5:$G$295,GF_Budget_Detail!$A$5:$A$295,H$6,GF_Budget_Detail!$D$5:$D$295,"Charges for services")</f>
        <v/>
      </c>
      <c r="I15" s="22">
        <f>SUMIFS(GF_Budget_Detail!$G$5:$G$295,GF_Budget_Detail!$A$5:$A$295,I$6,GF_Budget_Detail!$D$5:$D$295,"Charges for services")</f>
        <v/>
      </c>
      <c r="J15" s="22">
        <f>SUMIFS(GF_Budget_Detail!$G$5:$G$295,GF_Budget_Detail!$A$5:$A$295,J$6,GF_Budget_Detail!$D$5:$D$295,"Charges for services")</f>
        <v/>
      </c>
      <c r="K15" s="22">
        <f>SUMIFS(GF_Budget_Detail!$G$5:$G$295,GF_Budget_Detail!$A$5:$A$295,K$6,GF_Budget_Detail!$D$5:$D$295,"Charges for services")</f>
        <v/>
      </c>
      <c r="L15" s="22">
        <f>SUMIFS(GF_Budget_Detail!$G$5:$G$295,GF_Budget_Detail!$A$5:$A$295,L$6,GF_Budget_Detail!$D$5:$D$295,"Charges for services")</f>
        <v/>
      </c>
      <c r="M15" s="22">
        <f>SUMIFS(GF_Budget_Detail!$G$5:$G$295,GF_Budget_Detail!$A$5:$A$295,M$6,GF_Budget_Detail!$D$5:$D$295,"Charges for services")</f>
        <v/>
      </c>
      <c r="N15" s="23">
        <f>SUMIFS(GF_Budget_Detail!$G$5:$G$295,GF_Budget_Detail!$A$5:$A$295,N$6,GF_Budget_Detail!$D$5:$D$295,"Charges for services")</f>
        <v/>
      </c>
    </row>
    <row r="16">
      <c r="A16" s="21" t="inlineStr">
        <is>
          <t>Other revenues</t>
        </is>
      </c>
      <c r="B16" s="22">
        <f>SUMIFS(GF_Budget_Detail!$G$5:$G$295,GF_Budget_Detail!$A$5:$A$295,B$6,GF_Budget_Detail!$D$5:$D$295,"Other revenues")</f>
        <v/>
      </c>
      <c r="C16" s="22">
        <f>SUMIFS(GF_Budget_Detail!$G$5:$G$295,GF_Budget_Detail!$A$5:$A$295,C$6,GF_Budget_Detail!$D$5:$D$295,"Other revenues")</f>
        <v/>
      </c>
      <c r="D16" s="22">
        <f>SUMIFS(GF_Budget_Detail!$G$5:$G$295,GF_Budget_Detail!$A$5:$A$295,D$6,GF_Budget_Detail!$D$5:$D$295,"Other revenues")</f>
        <v/>
      </c>
      <c r="E16" s="22">
        <f>SUMIFS(GF_Budget_Detail!$G$5:$G$295,GF_Budget_Detail!$A$5:$A$295,E$6,GF_Budget_Detail!$D$5:$D$295,"Other revenues")</f>
        <v/>
      </c>
      <c r="F16" s="22">
        <f>SUMIFS(GF_Budget_Detail!$G$5:$G$295,GF_Budget_Detail!$A$5:$A$295,F$6,GF_Budget_Detail!$D$5:$D$295,"Other revenues")</f>
        <v/>
      </c>
      <c r="G16" s="22">
        <f>SUMIFS(GF_Budget_Detail!$G$5:$G$295,GF_Budget_Detail!$A$5:$A$295,G$6,GF_Budget_Detail!$D$5:$D$295,"Other revenues")</f>
        <v/>
      </c>
      <c r="H16" s="22">
        <f>SUMIFS(GF_Budget_Detail!$G$5:$G$295,GF_Budget_Detail!$A$5:$A$295,H$6,GF_Budget_Detail!$D$5:$D$295,"Other revenues")</f>
        <v/>
      </c>
      <c r="I16" s="22">
        <f>SUMIFS(GF_Budget_Detail!$G$5:$G$295,GF_Budget_Detail!$A$5:$A$295,I$6,GF_Budget_Detail!$D$5:$D$295,"Other revenues")</f>
        <v/>
      </c>
      <c r="J16" s="22">
        <f>SUMIFS(GF_Budget_Detail!$G$5:$G$295,GF_Budget_Detail!$A$5:$A$295,J$6,GF_Budget_Detail!$D$5:$D$295,"Other revenues")</f>
        <v/>
      </c>
      <c r="K16" s="22">
        <f>SUMIFS(GF_Budget_Detail!$G$5:$G$295,GF_Budget_Detail!$A$5:$A$295,K$6,GF_Budget_Detail!$D$5:$D$295,"Other revenues")</f>
        <v/>
      </c>
      <c r="L16" s="22">
        <f>SUMIFS(GF_Budget_Detail!$G$5:$G$295,GF_Budget_Detail!$A$5:$A$295,L$6,GF_Budget_Detail!$D$5:$D$295,"Other revenues")</f>
        <v/>
      </c>
      <c r="M16" s="22">
        <f>SUMIFS(GF_Budget_Detail!$G$5:$G$295,GF_Budget_Detail!$A$5:$A$295,M$6,GF_Budget_Detail!$D$5:$D$295,"Other revenues")</f>
        <v/>
      </c>
      <c r="N16" s="23">
        <f>SUMIFS(GF_Budget_Detail!$G$5:$G$295,GF_Budget_Detail!$A$5:$A$295,N$6,GF_Budget_Detail!$D$5:$D$295,"Other revenues")</f>
        <v/>
      </c>
    </row>
    <row r="17">
      <c r="A17" s="12" t="inlineStr">
        <is>
          <t>Total revenues</t>
        </is>
      </c>
      <c r="B17" s="24">
        <f>SUM(B8:B16)</f>
        <v/>
      </c>
      <c r="C17" s="24">
        <f>SUM(C8:C16)</f>
        <v/>
      </c>
      <c r="D17" s="24">
        <f>SUM(D8:D16)</f>
        <v/>
      </c>
      <c r="E17" s="24">
        <f>SUM(E8:E16)</f>
        <v/>
      </c>
      <c r="F17" s="24">
        <f>SUM(F8:F16)</f>
        <v/>
      </c>
      <c r="G17" s="24">
        <f>SUM(G8:G16)</f>
        <v/>
      </c>
      <c r="H17" s="24">
        <f>SUM(H8:H16)</f>
        <v/>
      </c>
      <c r="I17" s="24">
        <f>SUM(I8:I16)</f>
        <v/>
      </c>
      <c r="J17" s="24">
        <f>SUM(J8:J16)</f>
        <v/>
      </c>
      <c r="K17" s="24">
        <f>SUM(K8:K16)</f>
        <v/>
      </c>
      <c r="L17" s="24">
        <f>SUM(L8:L16)</f>
        <v/>
      </c>
      <c r="M17" s="24">
        <f>SUM(M8:M16)</f>
        <v/>
      </c>
      <c r="N17" s="25">
        <f>SUM(N8:N16)</f>
        <v/>
      </c>
    </row>
    <row r="18">
      <c r="A18" s="2" t="n"/>
      <c r="B18" s="2" t="n"/>
      <c r="C18" s="2" t="n"/>
      <c r="D18" s="2" t="n"/>
      <c r="E18" s="2" t="n"/>
      <c r="F18" s="2" t="n"/>
      <c r="G18" s="2" t="n"/>
      <c r="H18" s="2" t="n"/>
      <c r="I18" s="2" t="n"/>
      <c r="J18" s="2" t="n"/>
      <c r="K18" s="2" t="n"/>
      <c r="L18" s="2" t="n"/>
      <c r="M18" s="2" t="n"/>
      <c r="N18" s="2" t="n"/>
    </row>
    <row r="19">
      <c r="A19" s="19" t="inlineStr">
        <is>
          <t>EXPENDITURES</t>
        </is>
      </c>
      <c r="B19" s="20" t="n"/>
      <c r="C19" s="20" t="n"/>
      <c r="D19" s="20" t="n"/>
      <c r="E19" s="20" t="n"/>
      <c r="F19" s="20" t="n"/>
      <c r="G19" s="20" t="n"/>
      <c r="H19" s="20" t="n"/>
      <c r="I19" s="20" t="n"/>
      <c r="J19" s="20" t="n"/>
      <c r="K19" s="20" t="n"/>
      <c r="L19" s="20" t="n"/>
      <c r="M19" s="20" t="n"/>
      <c r="N19" s="20" t="n"/>
    </row>
    <row r="20">
      <c r="A20" s="12" t="inlineStr">
        <is>
          <t>Current:</t>
        </is>
      </c>
      <c r="B20" s="2" t="n"/>
      <c r="C20" s="2" t="n"/>
      <c r="D20" s="2" t="n"/>
      <c r="E20" s="2" t="n"/>
      <c r="F20" s="2" t="n"/>
      <c r="G20" s="2" t="n"/>
      <c r="H20" s="2" t="n"/>
      <c r="I20" s="2" t="n"/>
      <c r="J20" s="2" t="n"/>
      <c r="K20" s="2" t="n"/>
      <c r="L20" s="2" t="n"/>
      <c r="M20" s="2" t="n"/>
      <c r="N20" s="2" t="n"/>
    </row>
    <row r="21">
      <c r="A21" s="26" t="inlineStr">
        <is>
          <t>General government</t>
        </is>
      </c>
      <c r="B21" s="22">
        <f>SUMIFS(GF_Budget_Detail!$G$5:$G$295,GF_Budget_Detail!$A$5:$A$295,B$6,GF_Budget_Detail!$D$5:$D$295,"General government")</f>
        <v/>
      </c>
      <c r="C21" s="22">
        <f>SUMIFS(GF_Budget_Detail!$G$5:$G$295,GF_Budget_Detail!$A$5:$A$295,C$6,GF_Budget_Detail!$D$5:$D$295,"General government")</f>
        <v/>
      </c>
      <c r="D21" s="22">
        <f>SUMIFS(GF_Budget_Detail!$G$5:$G$295,GF_Budget_Detail!$A$5:$A$295,D$6,GF_Budget_Detail!$D$5:$D$295,"General government")</f>
        <v/>
      </c>
      <c r="E21" s="22">
        <f>SUMIFS(GF_Budget_Detail!$G$5:$G$295,GF_Budget_Detail!$A$5:$A$295,E$6,GF_Budget_Detail!$D$5:$D$295,"General government")</f>
        <v/>
      </c>
      <c r="F21" s="22">
        <f>SUMIFS(GF_Budget_Detail!$G$5:$G$295,GF_Budget_Detail!$A$5:$A$295,F$6,GF_Budget_Detail!$D$5:$D$295,"General government")</f>
        <v/>
      </c>
      <c r="G21" s="22">
        <f>SUMIFS(GF_Budget_Detail!$G$5:$G$295,GF_Budget_Detail!$A$5:$A$295,G$6,GF_Budget_Detail!$D$5:$D$295,"General government")</f>
        <v/>
      </c>
      <c r="H21" s="22">
        <f>SUMIFS(GF_Budget_Detail!$G$5:$G$295,GF_Budget_Detail!$A$5:$A$295,H$6,GF_Budget_Detail!$D$5:$D$295,"General government")</f>
        <v/>
      </c>
      <c r="I21" s="22">
        <f>SUMIFS(GF_Budget_Detail!$G$5:$G$295,GF_Budget_Detail!$A$5:$A$295,I$6,GF_Budget_Detail!$D$5:$D$295,"General government")</f>
        <v/>
      </c>
      <c r="J21" s="22">
        <f>SUMIFS(GF_Budget_Detail!$G$5:$G$295,GF_Budget_Detail!$A$5:$A$295,J$6,GF_Budget_Detail!$D$5:$D$295,"General government")</f>
        <v/>
      </c>
      <c r="K21" s="22">
        <f>SUMIFS(GF_Budget_Detail!$G$5:$G$295,GF_Budget_Detail!$A$5:$A$295,K$6,GF_Budget_Detail!$D$5:$D$295,"General government")</f>
        <v/>
      </c>
      <c r="L21" s="22">
        <f>SUMIFS(GF_Budget_Detail!$G$5:$G$295,GF_Budget_Detail!$A$5:$A$295,L$6,GF_Budget_Detail!$D$5:$D$295,"General government")</f>
        <v/>
      </c>
      <c r="M21" s="22">
        <f>SUMIFS(GF_Budget_Detail!$G$5:$G$295,GF_Budget_Detail!$A$5:$A$295,M$6,GF_Budget_Detail!$D$5:$D$295,"General government")</f>
        <v/>
      </c>
      <c r="N21" s="23">
        <f>SUMIFS(GF_Budget_Detail!$G$5:$G$295,GF_Budget_Detail!$A$5:$A$295,N$6,GF_Budget_Detail!$D$5:$D$295,"General government")</f>
        <v/>
      </c>
    </row>
    <row r="22">
      <c r="A22" s="26" t="inlineStr">
        <is>
          <t>Public works</t>
        </is>
      </c>
      <c r="B22" s="22">
        <f>SUMIFS(GF_Budget_Detail!$G$5:$G$295,GF_Budget_Detail!$A$5:$A$295,B$6,GF_Budget_Detail!$D$5:$D$295,"Public works")</f>
        <v/>
      </c>
      <c r="C22" s="22">
        <f>SUMIFS(GF_Budget_Detail!$G$5:$G$295,GF_Budget_Detail!$A$5:$A$295,C$6,GF_Budget_Detail!$D$5:$D$295,"Public works")</f>
        <v/>
      </c>
      <c r="D22" s="22">
        <f>SUMIFS(GF_Budget_Detail!$G$5:$G$295,GF_Budget_Detail!$A$5:$A$295,D$6,GF_Budget_Detail!$D$5:$D$295,"Public works")</f>
        <v/>
      </c>
      <c r="E22" s="22">
        <f>SUMIFS(GF_Budget_Detail!$G$5:$G$295,GF_Budget_Detail!$A$5:$A$295,E$6,GF_Budget_Detail!$D$5:$D$295,"Public works")</f>
        <v/>
      </c>
      <c r="F22" s="22">
        <f>SUMIFS(GF_Budget_Detail!$G$5:$G$295,GF_Budget_Detail!$A$5:$A$295,F$6,GF_Budget_Detail!$D$5:$D$295,"Public works")</f>
        <v/>
      </c>
      <c r="G22" s="22">
        <f>SUMIFS(GF_Budget_Detail!$G$5:$G$295,GF_Budget_Detail!$A$5:$A$295,G$6,GF_Budget_Detail!$D$5:$D$295,"Public works")</f>
        <v/>
      </c>
      <c r="H22" s="22">
        <f>SUMIFS(GF_Budget_Detail!$G$5:$G$295,GF_Budget_Detail!$A$5:$A$295,H$6,GF_Budget_Detail!$D$5:$D$295,"Public works")</f>
        <v/>
      </c>
      <c r="I22" s="22">
        <f>SUMIFS(GF_Budget_Detail!$G$5:$G$295,GF_Budget_Detail!$A$5:$A$295,I$6,GF_Budget_Detail!$D$5:$D$295,"Public works")</f>
        <v/>
      </c>
      <c r="J22" s="22">
        <f>SUMIFS(GF_Budget_Detail!$G$5:$G$295,GF_Budget_Detail!$A$5:$A$295,J$6,GF_Budget_Detail!$D$5:$D$295,"Public works")</f>
        <v/>
      </c>
      <c r="K22" s="22">
        <f>SUMIFS(GF_Budget_Detail!$G$5:$G$295,GF_Budget_Detail!$A$5:$A$295,K$6,GF_Budget_Detail!$D$5:$D$295,"Public works")</f>
        <v/>
      </c>
      <c r="L22" s="22">
        <f>SUMIFS(GF_Budget_Detail!$G$5:$G$295,GF_Budget_Detail!$A$5:$A$295,L$6,GF_Budget_Detail!$D$5:$D$295,"Public works")</f>
        <v/>
      </c>
      <c r="M22" s="22">
        <f>SUMIFS(GF_Budget_Detail!$G$5:$G$295,GF_Budget_Detail!$A$5:$A$295,M$6,GF_Budget_Detail!$D$5:$D$295,"Public works")</f>
        <v/>
      </c>
      <c r="N22" s="23">
        <f>SUMIFS(GF_Budget_Detail!$G$5:$G$295,GF_Budget_Detail!$A$5:$A$295,N$6,GF_Budget_Detail!$D$5:$D$295,"Public works")</f>
        <v/>
      </c>
    </row>
    <row r="23">
      <c r="A23" s="26" t="inlineStr">
        <is>
          <t>Recreation</t>
        </is>
      </c>
      <c r="B23" s="22">
        <f>SUMIFS(GF_Budget_Detail!$G$5:$G$295,GF_Budget_Detail!$A$5:$A$295,B$6,GF_Budget_Detail!$D$5:$D$295,"Recreation")</f>
        <v/>
      </c>
      <c r="C23" s="22">
        <f>SUMIFS(GF_Budget_Detail!$G$5:$G$295,GF_Budget_Detail!$A$5:$A$295,C$6,GF_Budget_Detail!$D$5:$D$295,"Recreation")</f>
        <v/>
      </c>
      <c r="D23" s="22">
        <f>SUMIFS(GF_Budget_Detail!$G$5:$G$295,GF_Budget_Detail!$A$5:$A$295,D$6,GF_Budget_Detail!$D$5:$D$295,"Recreation")</f>
        <v/>
      </c>
      <c r="E23" s="22">
        <f>SUMIFS(GF_Budget_Detail!$G$5:$G$295,GF_Budget_Detail!$A$5:$A$295,E$6,GF_Budget_Detail!$D$5:$D$295,"Recreation")</f>
        <v/>
      </c>
      <c r="F23" s="22">
        <f>SUMIFS(GF_Budget_Detail!$G$5:$G$295,GF_Budget_Detail!$A$5:$A$295,F$6,GF_Budget_Detail!$D$5:$D$295,"Recreation")</f>
        <v/>
      </c>
      <c r="G23" s="22">
        <f>SUMIFS(GF_Budget_Detail!$G$5:$G$295,GF_Budget_Detail!$A$5:$A$295,G$6,GF_Budget_Detail!$D$5:$D$295,"Recreation")</f>
        <v/>
      </c>
      <c r="H23" s="22">
        <f>SUMIFS(GF_Budget_Detail!$G$5:$G$295,GF_Budget_Detail!$A$5:$A$295,H$6,GF_Budget_Detail!$D$5:$D$295,"Recreation")</f>
        <v/>
      </c>
      <c r="I23" s="22">
        <f>SUMIFS(GF_Budget_Detail!$G$5:$G$295,GF_Budget_Detail!$A$5:$A$295,I$6,GF_Budget_Detail!$D$5:$D$295,"Recreation")</f>
        <v/>
      </c>
      <c r="J23" s="22">
        <f>SUMIFS(GF_Budget_Detail!$G$5:$G$295,GF_Budget_Detail!$A$5:$A$295,J$6,GF_Budget_Detail!$D$5:$D$295,"Recreation")</f>
        <v/>
      </c>
      <c r="K23" s="22">
        <f>SUMIFS(GF_Budget_Detail!$G$5:$G$295,GF_Budget_Detail!$A$5:$A$295,K$6,GF_Budget_Detail!$D$5:$D$295,"Recreation")</f>
        <v/>
      </c>
      <c r="L23" s="22">
        <f>SUMIFS(GF_Budget_Detail!$G$5:$G$295,GF_Budget_Detail!$A$5:$A$295,L$6,GF_Budget_Detail!$D$5:$D$295,"Recreation")</f>
        <v/>
      </c>
      <c r="M23" s="22">
        <f>SUMIFS(GF_Budget_Detail!$G$5:$G$295,GF_Budget_Detail!$A$5:$A$295,M$6,GF_Budget_Detail!$D$5:$D$295,"Recreation")</f>
        <v/>
      </c>
      <c r="N23" s="23">
        <f>SUMIFS(GF_Budget_Detail!$G$5:$G$295,GF_Budget_Detail!$A$5:$A$295,N$6,GF_Budget_Detail!$D$5:$D$295,"Recreation")</f>
        <v/>
      </c>
    </row>
    <row r="24">
      <c r="A24" s="26" t="inlineStr">
        <is>
          <t>Community development</t>
        </is>
      </c>
      <c r="B24" s="22">
        <f>SUMIFS(GF_Budget_Detail!$G$5:$G$295,GF_Budget_Detail!$A$5:$A$295,B$6,GF_Budget_Detail!$D$5:$D$295,"Community development")</f>
        <v/>
      </c>
      <c r="C24" s="22">
        <f>SUMIFS(GF_Budget_Detail!$G$5:$G$295,GF_Budget_Detail!$A$5:$A$295,C$6,GF_Budget_Detail!$D$5:$D$295,"Community development")</f>
        <v/>
      </c>
      <c r="D24" s="22">
        <f>SUMIFS(GF_Budget_Detail!$G$5:$G$295,GF_Budget_Detail!$A$5:$A$295,D$6,GF_Budget_Detail!$D$5:$D$295,"Community development")</f>
        <v/>
      </c>
      <c r="E24" s="22">
        <f>SUMIFS(GF_Budget_Detail!$G$5:$G$295,GF_Budget_Detail!$A$5:$A$295,E$6,GF_Budget_Detail!$D$5:$D$295,"Community development")</f>
        <v/>
      </c>
      <c r="F24" s="22">
        <f>SUMIFS(GF_Budget_Detail!$G$5:$G$295,GF_Budget_Detail!$A$5:$A$295,F$6,GF_Budget_Detail!$D$5:$D$295,"Community development")</f>
        <v/>
      </c>
      <c r="G24" s="22">
        <f>SUMIFS(GF_Budget_Detail!$G$5:$G$295,GF_Budget_Detail!$A$5:$A$295,G$6,GF_Budget_Detail!$D$5:$D$295,"Community development")</f>
        <v/>
      </c>
      <c r="H24" s="22">
        <f>SUMIFS(GF_Budget_Detail!$G$5:$G$295,GF_Budget_Detail!$A$5:$A$295,H$6,GF_Budget_Detail!$D$5:$D$295,"Community development")</f>
        <v/>
      </c>
      <c r="I24" s="22">
        <f>SUMIFS(GF_Budget_Detail!$G$5:$G$295,GF_Budget_Detail!$A$5:$A$295,I$6,GF_Budget_Detail!$D$5:$D$295,"Community development")</f>
        <v/>
      </c>
      <c r="J24" s="22">
        <f>SUMIFS(GF_Budget_Detail!$G$5:$G$295,GF_Budget_Detail!$A$5:$A$295,J$6,GF_Budget_Detail!$D$5:$D$295,"Community development")</f>
        <v/>
      </c>
      <c r="K24" s="22">
        <f>SUMIFS(GF_Budget_Detail!$G$5:$G$295,GF_Budget_Detail!$A$5:$A$295,K$6,GF_Budget_Detail!$D$5:$D$295,"Community development")</f>
        <v/>
      </c>
      <c r="L24" s="22">
        <f>SUMIFS(GF_Budget_Detail!$G$5:$G$295,GF_Budget_Detail!$A$5:$A$295,L$6,GF_Budget_Detail!$D$5:$D$295,"Community development")</f>
        <v/>
      </c>
      <c r="M24" s="22">
        <f>SUMIFS(GF_Budget_Detail!$G$5:$G$295,GF_Budget_Detail!$A$5:$A$295,M$6,GF_Budget_Detail!$D$5:$D$295,"Community development")</f>
        <v/>
      </c>
      <c r="N24" s="23">
        <f>SUMIFS(GF_Budget_Detail!$G$5:$G$295,GF_Budget_Detail!$A$5:$A$295,N$6,GF_Budget_Detail!$D$5:$D$295,"Community development")</f>
        <v/>
      </c>
    </row>
    <row r="25">
      <c r="A25" s="26" t="inlineStr">
        <is>
          <t>Public safety - Police</t>
        </is>
      </c>
      <c r="B25" s="22">
        <f>SUMIFS(GF_Budget_Detail!$G$5:$G$295,GF_Budget_Detail!$A$5:$A$295,B$6,GF_Budget_Detail!$D$5:$D$295,"Public safety - Police")</f>
        <v/>
      </c>
      <c r="C25" s="22">
        <f>SUMIFS(GF_Budget_Detail!$G$5:$G$295,GF_Budget_Detail!$A$5:$A$295,C$6,GF_Budget_Detail!$D$5:$D$295,"Public safety - Police")</f>
        <v/>
      </c>
      <c r="D25" s="22">
        <f>SUMIFS(GF_Budget_Detail!$G$5:$G$295,GF_Budget_Detail!$A$5:$A$295,D$6,GF_Budget_Detail!$D$5:$D$295,"Public safety - Police")</f>
        <v/>
      </c>
      <c r="E25" s="22">
        <f>SUMIFS(GF_Budget_Detail!$G$5:$G$295,GF_Budget_Detail!$A$5:$A$295,E$6,GF_Budget_Detail!$D$5:$D$295,"Public safety - Police")</f>
        <v/>
      </c>
      <c r="F25" s="22">
        <f>SUMIFS(GF_Budget_Detail!$G$5:$G$295,GF_Budget_Detail!$A$5:$A$295,F$6,GF_Budget_Detail!$D$5:$D$295,"Public safety - Police")</f>
        <v/>
      </c>
      <c r="G25" s="22">
        <f>SUMIFS(GF_Budget_Detail!$G$5:$G$295,GF_Budget_Detail!$A$5:$A$295,G$6,GF_Budget_Detail!$D$5:$D$295,"Public safety - Police")</f>
        <v/>
      </c>
      <c r="H25" s="22">
        <f>SUMIFS(GF_Budget_Detail!$G$5:$G$295,GF_Budget_Detail!$A$5:$A$295,H$6,GF_Budget_Detail!$D$5:$D$295,"Public safety - Police")</f>
        <v/>
      </c>
      <c r="I25" s="22">
        <f>SUMIFS(GF_Budget_Detail!$G$5:$G$295,GF_Budget_Detail!$A$5:$A$295,I$6,GF_Budget_Detail!$D$5:$D$295,"Public safety - Police")</f>
        <v/>
      </c>
      <c r="J25" s="22">
        <f>SUMIFS(GF_Budget_Detail!$G$5:$G$295,GF_Budget_Detail!$A$5:$A$295,J$6,GF_Budget_Detail!$D$5:$D$295,"Public safety - Police")</f>
        <v/>
      </c>
      <c r="K25" s="22">
        <f>SUMIFS(GF_Budget_Detail!$G$5:$G$295,GF_Budget_Detail!$A$5:$A$295,K$6,GF_Budget_Detail!$D$5:$D$295,"Public safety - Police")</f>
        <v/>
      </c>
      <c r="L25" s="22">
        <f>SUMIFS(GF_Budget_Detail!$G$5:$G$295,GF_Budget_Detail!$A$5:$A$295,L$6,GF_Budget_Detail!$D$5:$D$295,"Public safety - Police")</f>
        <v/>
      </c>
      <c r="M25" s="22">
        <f>SUMIFS(GF_Budget_Detail!$G$5:$G$295,GF_Budget_Detail!$A$5:$A$295,M$6,GF_Budget_Detail!$D$5:$D$295,"Public safety - Police")</f>
        <v/>
      </c>
      <c r="N25" s="23">
        <f>SUMIFS(GF_Budget_Detail!$G$5:$G$295,GF_Budget_Detail!$A$5:$A$295,N$6,GF_Budget_Detail!$D$5:$D$295,"Public safety - Police")</f>
        <v/>
      </c>
    </row>
    <row r="26">
      <c r="A26" s="26" t="inlineStr">
        <is>
          <t>Public safety - Fire</t>
        </is>
      </c>
      <c r="B26" s="22">
        <f>SUMIFS(GF_Budget_Detail!$G$5:$G$295,GF_Budget_Detail!$A$5:$A$295,B$6,GF_Budget_Detail!$D$5:$D$295,"Public safety - Fire")</f>
        <v/>
      </c>
      <c r="C26" s="22">
        <f>SUMIFS(GF_Budget_Detail!$G$5:$G$295,GF_Budget_Detail!$A$5:$A$295,C$6,GF_Budget_Detail!$D$5:$D$295,"Public safety - Fire")</f>
        <v/>
      </c>
      <c r="D26" s="22">
        <f>SUMIFS(GF_Budget_Detail!$G$5:$G$295,GF_Budget_Detail!$A$5:$A$295,D$6,GF_Budget_Detail!$D$5:$D$295,"Public safety - Fire")</f>
        <v/>
      </c>
      <c r="E26" s="22">
        <f>SUMIFS(GF_Budget_Detail!$G$5:$G$295,GF_Budget_Detail!$A$5:$A$295,E$6,GF_Budget_Detail!$D$5:$D$295,"Public safety - Fire")</f>
        <v/>
      </c>
      <c r="F26" s="22">
        <f>SUMIFS(GF_Budget_Detail!$G$5:$G$295,GF_Budget_Detail!$A$5:$A$295,F$6,GF_Budget_Detail!$D$5:$D$295,"Public safety - Fire")</f>
        <v/>
      </c>
      <c r="G26" s="22">
        <f>SUMIFS(GF_Budget_Detail!$G$5:$G$295,GF_Budget_Detail!$A$5:$A$295,G$6,GF_Budget_Detail!$D$5:$D$295,"Public safety - Fire")</f>
        <v/>
      </c>
      <c r="H26" s="22">
        <f>SUMIFS(GF_Budget_Detail!$G$5:$G$295,GF_Budget_Detail!$A$5:$A$295,H$6,GF_Budget_Detail!$D$5:$D$295,"Public safety - Fire")</f>
        <v/>
      </c>
      <c r="I26" s="22">
        <f>SUMIFS(GF_Budget_Detail!$G$5:$G$295,GF_Budget_Detail!$A$5:$A$295,I$6,GF_Budget_Detail!$D$5:$D$295,"Public safety - Fire")</f>
        <v/>
      </c>
      <c r="J26" s="22">
        <f>SUMIFS(GF_Budget_Detail!$G$5:$G$295,GF_Budget_Detail!$A$5:$A$295,J$6,GF_Budget_Detail!$D$5:$D$295,"Public safety - Fire")</f>
        <v/>
      </c>
      <c r="K26" s="22">
        <f>SUMIFS(GF_Budget_Detail!$G$5:$G$295,GF_Budget_Detail!$A$5:$A$295,K$6,GF_Budget_Detail!$D$5:$D$295,"Public safety - Fire")</f>
        <v/>
      </c>
      <c r="L26" s="22">
        <f>SUMIFS(GF_Budget_Detail!$G$5:$G$295,GF_Budget_Detail!$A$5:$A$295,L$6,GF_Budget_Detail!$D$5:$D$295,"Public safety - Fire")</f>
        <v/>
      </c>
      <c r="M26" s="22">
        <f>SUMIFS(GF_Budget_Detail!$G$5:$G$295,GF_Budget_Detail!$A$5:$A$295,M$6,GF_Budget_Detail!$D$5:$D$295,"Public safety - Fire")</f>
        <v/>
      </c>
      <c r="N26" s="23">
        <f>SUMIFS(GF_Budget_Detail!$G$5:$G$295,GF_Budget_Detail!$A$5:$A$295,N$6,GF_Budget_Detail!$D$5:$D$295,"Public safety - Fire")</f>
        <v/>
      </c>
    </row>
    <row r="27">
      <c r="A27" s="26" t="inlineStr">
        <is>
          <t>Public safety (combined)</t>
        </is>
      </c>
      <c r="B27" s="22">
        <f>SUMIFS(GF_Budget_Detail!$G$5:$G$295,GF_Budget_Detail!$A$5:$A$295,B$6,GF_Budget_Detail!$D$5:$D$295,"Public safety (combined)")</f>
        <v/>
      </c>
      <c r="C27" s="22">
        <f>SUMIFS(GF_Budget_Detail!$G$5:$G$295,GF_Budget_Detail!$A$5:$A$295,C$6,GF_Budget_Detail!$D$5:$D$295,"Public safety (combined)")</f>
        <v/>
      </c>
      <c r="D27" s="22">
        <f>SUMIFS(GF_Budget_Detail!$G$5:$G$295,GF_Budget_Detail!$A$5:$A$295,D$6,GF_Budget_Detail!$D$5:$D$295,"Public safety (combined)")</f>
        <v/>
      </c>
      <c r="E27" s="22">
        <f>SUMIFS(GF_Budget_Detail!$G$5:$G$295,GF_Budget_Detail!$A$5:$A$295,E$6,GF_Budget_Detail!$D$5:$D$295,"Public safety (combined)")</f>
        <v/>
      </c>
      <c r="F27" s="22">
        <f>SUMIFS(GF_Budget_Detail!$G$5:$G$295,GF_Budget_Detail!$A$5:$A$295,F$6,GF_Budget_Detail!$D$5:$D$295,"Public safety (combined)")</f>
        <v/>
      </c>
      <c r="G27" s="22">
        <f>SUMIFS(GF_Budget_Detail!$G$5:$G$295,GF_Budget_Detail!$A$5:$A$295,G$6,GF_Budget_Detail!$D$5:$D$295,"Public safety (combined)")</f>
        <v/>
      </c>
      <c r="H27" s="22">
        <f>SUMIFS(GF_Budget_Detail!$G$5:$G$295,GF_Budget_Detail!$A$5:$A$295,H$6,GF_Budget_Detail!$D$5:$D$295,"Public safety (combined)")</f>
        <v/>
      </c>
      <c r="I27" s="22">
        <f>SUMIFS(GF_Budget_Detail!$G$5:$G$295,GF_Budget_Detail!$A$5:$A$295,I$6,GF_Budget_Detail!$D$5:$D$295,"Public safety (combined)")</f>
        <v/>
      </c>
      <c r="J27" s="22">
        <f>SUMIFS(GF_Budget_Detail!$G$5:$G$295,GF_Budget_Detail!$A$5:$A$295,J$6,GF_Budget_Detail!$D$5:$D$295,"Public safety (combined)")</f>
        <v/>
      </c>
      <c r="K27" s="22">
        <f>SUMIFS(GF_Budget_Detail!$G$5:$G$295,GF_Budget_Detail!$A$5:$A$295,K$6,GF_Budget_Detail!$D$5:$D$295,"Public safety (combined)")</f>
        <v/>
      </c>
      <c r="L27" s="22">
        <f>SUMIFS(GF_Budget_Detail!$G$5:$G$295,GF_Budget_Detail!$A$5:$A$295,L$6,GF_Budget_Detail!$D$5:$D$295,"Public safety (combined)")</f>
        <v/>
      </c>
      <c r="M27" s="22">
        <f>SUMIFS(GF_Budget_Detail!$G$5:$G$295,GF_Budget_Detail!$A$5:$A$295,M$6,GF_Budget_Detail!$D$5:$D$295,"Public safety (combined)")</f>
        <v/>
      </c>
      <c r="N27" s="23">
        <f>SUMIFS(GF_Budget_Detail!$G$5:$G$295,GF_Budget_Detail!$A$5:$A$295,N$6,GF_Budget_Detail!$D$5:$D$295,"Public safety (combined)")</f>
        <v/>
      </c>
    </row>
    <row r="28">
      <c r="A28" s="26" t="inlineStr">
        <is>
          <t>Payment of sales tax to City of Richmond</t>
        </is>
      </c>
      <c r="B28" s="22">
        <f>SUMIFS(GF_Budget_Detail!$G$5:$G$295,GF_Budget_Detail!$A$5:$A$295,B$6,GF_Budget_Detail!$D$5:$D$295,"Payment of sales tax to City of Richmond")</f>
        <v/>
      </c>
      <c r="C28" s="22">
        <f>SUMIFS(GF_Budget_Detail!$G$5:$G$295,GF_Budget_Detail!$A$5:$A$295,C$6,GF_Budget_Detail!$D$5:$D$295,"Payment of sales tax to City of Richmond")</f>
        <v/>
      </c>
      <c r="D28" s="22">
        <f>SUMIFS(GF_Budget_Detail!$G$5:$G$295,GF_Budget_Detail!$A$5:$A$295,D$6,GF_Budget_Detail!$D$5:$D$295,"Payment of sales tax to City of Richmond")</f>
        <v/>
      </c>
      <c r="E28" s="22">
        <f>SUMIFS(GF_Budget_Detail!$G$5:$G$295,GF_Budget_Detail!$A$5:$A$295,E$6,GF_Budget_Detail!$D$5:$D$295,"Payment of sales tax to City of Richmond")</f>
        <v/>
      </c>
      <c r="F28" s="22">
        <f>SUMIFS(GF_Budget_Detail!$G$5:$G$295,GF_Budget_Detail!$A$5:$A$295,F$6,GF_Budget_Detail!$D$5:$D$295,"Payment of sales tax to City of Richmond")</f>
        <v/>
      </c>
      <c r="G28" s="22">
        <f>SUMIFS(GF_Budget_Detail!$G$5:$G$295,GF_Budget_Detail!$A$5:$A$295,G$6,GF_Budget_Detail!$D$5:$D$295,"Payment of sales tax to City of Richmond")</f>
        <v/>
      </c>
      <c r="H28" s="22">
        <f>SUMIFS(GF_Budget_Detail!$G$5:$G$295,GF_Budget_Detail!$A$5:$A$295,H$6,GF_Budget_Detail!$D$5:$D$295,"Payment of sales tax to City of Richmond")</f>
        <v/>
      </c>
      <c r="I28" s="22">
        <f>SUMIFS(GF_Budget_Detail!$G$5:$G$295,GF_Budget_Detail!$A$5:$A$295,I$6,GF_Budget_Detail!$D$5:$D$295,"Payment of sales tax to City of Richmond")</f>
        <v/>
      </c>
      <c r="J28" s="22">
        <f>SUMIFS(GF_Budget_Detail!$G$5:$G$295,GF_Budget_Detail!$A$5:$A$295,J$6,GF_Budget_Detail!$D$5:$D$295,"Payment of sales tax to City of Richmond")</f>
        <v/>
      </c>
      <c r="K28" s="22">
        <f>SUMIFS(GF_Budget_Detail!$G$5:$G$295,GF_Budget_Detail!$A$5:$A$295,K$6,GF_Budget_Detail!$D$5:$D$295,"Payment of sales tax to City of Richmond")</f>
        <v/>
      </c>
      <c r="L28" s="22">
        <f>SUMIFS(GF_Budget_Detail!$G$5:$G$295,GF_Budget_Detail!$A$5:$A$295,L$6,GF_Budget_Detail!$D$5:$D$295,"Payment of sales tax to City of Richmond")</f>
        <v/>
      </c>
      <c r="M28" s="22">
        <f>SUMIFS(GF_Budget_Detail!$G$5:$G$295,GF_Budget_Detail!$A$5:$A$295,M$6,GF_Budget_Detail!$D$5:$D$295,"Payment of sales tax to City of Richmond")</f>
        <v/>
      </c>
      <c r="N28" s="23">
        <f>SUMIFS(GF_Budget_Detail!$G$5:$G$295,GF_Budget_Detail!$A$5:$A$295,N$6,GF_Budget_Detail!$D$5:$D$295,"Payment of sales tax to City of Richmond")</f>
        <v/>
      </c>
    </row>
    <row r="29">
      <c r="A29" s="26" t="inlineStr">
        <is>
          <t>Non-departmental (budget-report basis)</t>
        </is>
      </c>
      <c r="B29" s="22">
        <f>SUMIFS(GF_Budget_Detail!$G$5:$G$295,GF_Budget_Detail!$A$5:$A$295,B$6,GF_Budget_Detail!$D$5:$D$295,"Non-departmental (budget-report basis)")</f>
        <v/>
      </c>
      <c r="C29" s="22">
        <f>SUMIFS(GF_Budget_Detail!$G$5:$G$295,GF_Budget_Detail!$A$5:$A$295,C$6,GF_Budget_Detail!$D$5:$D$295,"Non-departmental (budget-report basis)")</f>
        <v/>
      </c>
      <c r="D29" s="22">
        <f>SUMIFS(GF_Budget_Detail!$G$5:$G$295,GF_Budget_Detail!$A$5:$A$295,D$6,GF_Budget_Detail!$D$5:$D$295,"Non-departmental (budget-report basis)")</f>
        <v/>
      </c>
      <c r="E29" s="22">
        <f>SUMIFS(GF_Budget_Detail!$G$5:$G$295,GF_Budget_Detail!$A$5:$A$295,E$6,GF_Budget_Detail!$D$5:$D$295,"Non-departmental (budget-report basis)")</f>
        <v/>
      </c>
      <c r="F29" s="22">
        <f>SUMIFS(GF_Budget_Detail!$G$5:$G$295,GF_Budget_Detail!$A$5:$A$295,F$6,GF_Budget_Detail!$D$5:$D$295,"Non-departmental (budget-report basis)")</f>
        <v/>
      </c>
      <c r="G29" s="22">
        <f>SUMIFS(GF_Budget_Detail!$G$5:$G$295,GF_Budget_Detail!$A$5:$A$295,G$6,GF_Budget_Detail!$D$5:$D$295,"Non-departmental (budget-report basis)")</f>
        <v/>
      </c>
      <c r="H29" s="22">
        <f>SUMIFS(GF_Budget_Detail!$G$5:$G$295,GF_Budget_Detail!$A$5:$A$295,H$6,GF_Budget_Detail!$D$5:$D$295,"Non-departmental (budget-report basis)")</f>
        <v/>
      </c>
      <c r="I29" s="22">
        <f>SUMIFS(GF_Budget_Detail!$G$5:$G$295,GF_Budget_Detail!$A$5:$A$295,I$6,GF_Budget_Detail!$D$5:$D$295,"Non-departmental (budget-report basis)")</f>
        <v/>
      </c>
      <c r="J29" s="22">
        <f>SUMIFS(GF_Budget_Detail!$G$5:$G$295,GF_Budget_Detail!$A$5:$A$295,J$6,GF_Budget_Detail!$D$5:$D$295,"Non-departmental (budget-report basis)")</f>
        <v/>
      </c>
      <c r="K29" s="22">
        <f>SUMIFS(GF_Budget_Detail!$G$5:$G$295,GF_Budget_Detail!$A$5:$A$295,K$6,GF_Budget_Detail!$D$5:$D$295,"Non-departmental (budget-report basis)")</f>
        <v/>
      </c>
      <c r="L29" s="22">
        <f>SUMIFS(GF_Budget_Detail!$G$5:$G$295,GF_Budget_Detail!$A$5:$A$295,L$6,GF_Budget_Detail!$D$5:$D$295,"Non-departmental (budget-report basis)")</f>
        <v/>
      </c>
      <c r="M29" s="22">
        <f>SUMIFS(GF_Budget_Detail!$G$5:$G$295,GF_Budget_Detail!$A$5:$A$295,M$6,GF_Budget_Detail!$D$5:$D$295,"Non-departmental (budget-report basis)")</f>
        <v/>
      </c>
      <c r="N29" s="23">
        <f>SUMIFS(GF_Budget_Detail!$G$5:$G$295,GF_Budget_Detail!$A$5:$A$295,N$6,GF_Budget_Detail!$D$5:$D$295,"Non-departmental (budget-report basis)")</f>
        <v/>
      </c>
    </row>
    <row r="30">
      <c r="A30" s="21" t="inlineStr">
        <is>
          <t>Capital outlay</t>
        </is>
      </c>
      <c r="B30" s="22">
        <f>SUMIFS(GF_Budget_Detail!$G$5:$G$295,GF_Budget_Detail!$A$5:$A$295,B$6,GF_Budget_Detail!$D$5:$D$295,"Capital outlay")</f>
        <v/>
      </c>
      <c r="C30" s="22">
        <f>SUMIFS(GF_Budget_Detail!$G$5:$G$295,GF_Budget_Detail!$A$5:$A$295,C$6,GF_Budget_Detail!$D$5:$D$295,"Capital outlay")</f>
        <v/>
      </c>
      <c r="D30" s="22">
        <f>SUMIFS(GF_Budget_Detail!$G$5:$G$295,GF_Budget_Detail!$A$5:$A$295,D$6,GF_Budget_Detail!$D$5:$D$295,"Capital outlay")</f>
        <v/>
      </c>
      <c r="E30" s="22">
        <f>SUMIFS(GF_Budget_Detail!$G$5:$G$295,GF_Budget_Detail!$A$5:$A$295,E$6,GF_Budget_Detail!$D$5:$D$295,"Capital outlay")</f>
        <v/>
      </c>
      <c r="F30" s="22">
        <f>SUMIFS(GF_Budget_Detail!$G$5:$G$295,GF_Budget_Detail!$A$5:$A$295,F$6,GF_Budget_Detail!$D$5:$D$295,"Capital outlay")</f>
        <v/>
      </c>
      <c r="G30" s="22">
        <f>SUMIFS(GF_Budget_Detail!$G$5:$G$295,GF_Budget_Detail!$A$5:$A$295,G$6,GF_Budget_Detail!$D$5:$D$295,"Capital outlay")</f>
        <v/>
      </c>
      <c r="H30" s="22">
        <f>SUMIFS(GF_Budget_Detail!$G$5:$G$295,GF_Budget_Detail!$A$5:$A$295,H$6,GF_Budget_Detail!$D$5:$D$295,"Capital outlay")</f>
        <v/>
      </c>
      <c r="I30" s="22">
        <f>SUMIFS(GF_Budget_Detail!$G$5:$G$295,GF_Budget_Detail!$A$5:$A$295,I$6,GF_Budget_Detail!$D$5:$D$295,"Capital outlay")</f>
        <v/>
      </c>
      <c r="J30" s="22">
        <f>SUMIFS(GF_Budget_Detail!$G$5:$G$295,GF_Budget_Detail!$A$5:$A$295,J$6,GF_Budget_Detail!$D$5:$D$295,"Capital outlay")</f>
        <v/>
      </c>
      <c r="K30" s="22">
        <f>SUMIFS(GF_Budget_Detail!$G$5:$G$295,GF_Budget_Detail!$A$5:$A$295,K$6,GF_Budget_Detail!$D$5:$D$295,"Capital outlay")</f>
        <v/>
      </c>
      <c r="L30" s="22">
        <f>SUMIFS(GF_Budget_Detail!$G$5:$G$295,GF_Budget_Detail!$A$5:$A$295,L$6,GF_Budget_Detail!$D$5:$D$295,"Capital outlay")</f>
        <v/>
      </c>
      <c r="M30" s="22">
        <f>SUMIFS(GF_Budget_Detail!$G$5:$G$295,GF_Budget_Detail!$A$5:$A$295,M$6,GF_Budget_Detail!$D$5:$D$295,"Capital outlay")</f>
        <v/>
      </c>
      <c r="N30" s="23">
        <f>SUMIFS(GF_Budget_Detail!$G$5:$G$295,GF_Budget_Detail!$A$5:$A$295,N$6,GF_Budget_Detail!$D$5:$D$295,"Capital outlay")</f>
        <v/>
      </c>
    </row>
    <row r="31">
      <c r="A31" s="12" t="inlineStr">
        <is>
          <t>Debt service:</t>
        </is>
      </c>
      <c r="B31" s="2" t="n"/>
      <c r="C31" s="2" t="n"/>
      <c r="D31" s="2" t="n"/>
      <c r="E31" s="2" t="n"/>
      <c r="F31" s="2" t="n"/>
      <c r="G31" s="2" t="n"/>
      <c r="H31" s="2" t="n"/>
      <c r="I31" s="2" t="n"/>
      <c r="J31" s="2" t="n"/>
      <c r="K31" s="2" t="n"/>
      <c r="L31" s="2" t="n"/>
      <c r="M31" s="2" t="n"/>
      <c r="N31" s="2" t="n"/>
    </row>
    <row r="32">
      <c r="A32" s="26" t="inlineStr">
        <is>
          <t>Principal</t>
        </is>
      </c>
      <c r="B32" s="22">
        <f>SUMIFS(GF_Budget_Detail!$G$5:$G$295,GF_Budget_Detail!$A$5:$A$295,B$6,GF_Budget_Detail!$D$5:$D$295,"Debt service - principal")</f>
        <v/>
      </c>
      <c r="C32" s="22">
        <f>SUMIFS(GF_Budget_Detail!$G$5:$G$295,GF_Budget_Detail!$A$5:$A$295,C$6,GF_Budget_Detail!$D$5:$D$295,"Debt service - principal")</f>
        <v/>
      </c>
      <c r="D32" s="22">
        <f>SUMIFS(GF_Budget_Detail!$G$5:$G$295,GF_Budget_Detail!$A$5:$A$295,D$6,GF_Budget_Detail!$D$5:$D$295,"Debt service - principal")</f>
        <v/>
      </c>
      <c r="E32" s="22">
        <f>SUMIFS(GF_Budget_Detail!$G$5:$G$295,GF_Budget_Detail!$A$5:$A$295,E$6,GF_Budget_Detail!$D$5:$D$295,"Debt service - principal")</f>
        <v/>
      </c>
      <c r="F32" s="22">
        <f>SUMIFS(GF_Budget_Detail!$G$5:$G$295,GF_Budget_Detail!$A$5:$A$295,F$6,GF_Budget_Detail!$D$5:$D$295,"Debt service - principal")</f>
        <v/>
      </c>
      <c r="G32" s="22">
        <f>SUMIFS(GF_Budget_Detail!$G$5:$G$295,GF_Budget_Detail!$A$5:$A$295,G$6,GF_Budget_Detail!$D$5:$D$295,"Debt service - principal")</f>
        <v/>
      </c>
      <c r="H32" s="22">
        <f>SUMIFS(GF_Budget_Detail!$G$5:$G$295,GF_Budget_Detail!$A$5:$A$295,H$6,GF_Budget_Detail!$D$5:$D$295,"Debt service - principal")</f>
        <v/>
      </c>
      <c r="I32" s="22">
        <f>SUMIFS(GF_Budget_Detail!$G$5:$G$295,GF_Budget_Detail!$A$5:$A$295,I$6,GF_Budget_Detail!$D$5:$D$295,"Debt service - principal")</f>
        <v/>
      </c>
      <c r="J32" s="22">
        <f>SUMIFS(GF_Budget_Detail!$G$5:$G$295,GF_Budget_Detail!$A$5:$A$295,J$6,GF_Budget_Detail!$D$5:$D$295,"Debt service - principal")</f>
        <v/>
      </c>
      <c r="K32" s="22">
        <f>SUMIFS(GF_Budget_Detail!$G$5:$G$295,GF_Budget_Detail!$A$5:$A$295,K$6,GF_Budget_Detail!$D$5:$D$295,"Debt service - principal")</f>
        <v/>
      </c>
      <c r="L32" s="22">
        <f>SUMIFS(GF_Budget_Detail!$G$5:$G$295,GF_Budget_Detail!$A$5:$A$295,L$6,GF_Budget_Detail!$D$5:$D$295,"Debt service - principal")</f>
        <v/>
      </c>
      <c r="M32" s="22">
        <f>SUMIFS(GF_Budget_Detail!$G$5:$G$295,GF_Budget_Detail!$A$5:$A$295,M$6,GF_Budget_Detail!$D$5:$D$295,"Debt service - principal")</f>
        <v/>
      </c>
      <c r="N32" s="23">
        <f>SUMIFS(GF_Budget_Detail!$G$5:$G$295,GF_Budget_Detail!$A$5:$A$295,N$6,GF_Budget_Detail!$D$5:$D$295,"Debt service - principal")</f>
        <v/>
      </c>
    </row>
    <row r="33">
      <c r="A33" s="26" t="inlineStr">
        <is>
          <t>Interest and fiscal charges</t>
        </is>
      </c>
      <c r="B33" s="22">
        <f>SUMIFS(GF_Budget_Detail!$G$5:$G$295,GF_Budget_Detail!$A$5:$A$295,B$6,GF_Budget_Detail!$D$5:$D$295,"Debt service - interest")</f>
        <v/>
      </c>
      <c r="C33" s="22">
        <f>SUMIFS(GF_Budget_Detail!$G$5:$G$295,GF_Budget_Detail!$A$5:$A$295,C$6,GF_Budget_Detail!$D$5:$D$295,"Debt service - interest")</f>
        <v/>
      </c>
      <c r="D33" s="22">
        <f>SUMIFS(GF_Budget_Detail!$G$5:$G$295,GF_Budget_Detail!$A$5:$A$295,D$6,GF_Budget_Detail!$D$5:$D$295,"Debt service - interest")</f>
        <v/>
      </c>
      <c r="E33" s="22">
        <f>SUMIFS(GF_Budget_Detail!$G$5:$G$295,GF_Budget_Detail!$A$5:$A$295,E$6,GF_Budget_Detail!$D$5:$D$295,"Debt service - interest")</f>
        <v/>
      </c>
      <c r="F33" s="22">
        <f>SUMIFS(GF_Budget_Detail!$G$5:$G$295,GF_Budget_Detail!$A$5:$A$295,F$6,GF_Budget_Detail!$D$5:$D$295,"Debt service - interest")</f>
        <v/>
      </c>
      <c r="G33" s="22">
        <f>SUMIFS(GF_Budget_Detail!$G$5:$G$295,GF_Budget_Detail!$A$5:$A$295,G$6,GF_Budget_Detail!$D$5:$D$295,"Debt service - interest")</f>
        <v/>
      </c>
      <c r="H33" s="22">
        <f>SUMIFS(GF_Budget_Detail!$G$5:$G$295,GF_Budget_Detail!$A$5:$A$295,H$6,GF_Budget_Detail!$D$5:$D$295,"Debt service - interest")</f>
        <v/>
      </c>
      <c r="I33" s="22">
        <f>SUMIFS(GF_Budget_Detail!$G$5:$G$295,GF_Budget_Detail!$A$5:$A$295,I$6,GF_Budget_Detail!$D$5:$D$295,"Debt service - interest")</f>
        <v/>
      </c>
      <c r="J33" s="22">
        <f>SUMIFS(GF_Budget_Detail!$G$5:$G$295,GF_Budget_Detail!$A$5:$A$295,J$6,GF_Budget_Detail!$D$5:$D$295,"Debt service - interest")</f>
        <v/>
      </c>
      <c r="K33" s="22">
        <f>SUMIFS(GF_Budget_Detail!$G$5:$G$295,GF_Budget_Detail!$A$5:$A$295,K$6,GF_Budget_Detail!$D$5:$D$295,"Debt service - interest")</f>
        <v/>
      </c>
      <c r="L33" s="22">
        <f>SUMIFS(GF_Budget_Detail!$G$5:$G$295,GF_Budget_Detail!$A$5:$A$295,L$6,GF_Budget_Detail!$D$5:$D$295,"Debt service - interest")</f>
        <v/>
      </c>
      <c r="M33" s="22">
        <f>SUMIFS(GF_Budget_Detail!$G$5:$G$295,GF_Budget_Detail!$A$5:$A$295,M$6,GF_Budget_Detail!$D$5:$D$295,"Debt service - interest")</f>
        <v/>
      </c>
      <c r="N33" s="23">
        <f>SUMIFS(GF_Budget_Detail!$G$5:$G$295,GF_Budget_Detail!$A$5:$A$295,N$6,GF_Budget_Detail!$D$5:$D$295,"Debt service - interest")</f>
        <v/>
      </c>
    </row>
    <row r="34">
      <c r="A34" s="12" t="inlineStr">
        <is>
          <t>Total expenditures</t>
        </is>
      </c>
      <c r="B34" s="24">
        <f>SUM(B20:B33)</f>
        <v/>
      </c>
      <c r="C34" s="24">
        <f>SUM(C20:C33)</f>
        <v/>
      </c>
      <c r="D34" s="24">
        <f>SUM(D20:D33)</f>
        <v/>
      </c>
      <c r="E34" s="24">
        <f>SUM(E20:E33)</f>
        <v/>
      </c>
      <c r="F34" s="24">
        <f>SUM(F20:F33)</f>
        <v/>
      </c>
      <c r="G34" s="24">
        <f>SUM(G20:G33)</f>
        <v/>
      </c>
      <c r="H34" s="24">
        <f>SUM(H20:H33)</f>
        <v/>
      </c>
      <c r="I34" s="24">
        <f>SUM(I20:I33)</f>
        <v/>
      </c>
      <c r="J34" s="24">
        <f>SUM(J20:J33)</f>
        <v/>
      </c>
      <c r="K34" s="24">
        <f>SUM(K20:K33)</f>
        <v/>
      </c>
      <c r="L34" s="24">
        <f>SUM(L20:L33)</f>
        <v/>
      </c>
      <c r="M34" s="24">
        <f>SUM(M20:M33)</f>
        <v/>
      </c>
      <c r="N34" s="25">
        <f>SUM(N20:N33)</f>
        <v/>
      </c>
    </row>
    <row r="35">
      <c r="A35" s="2" t="n"/>
      <c r="B35" s="2" t="n"/>
      <c r="C35" s="2" t="n"/>
      <c r="D35" s="2" t="n"/>
      <c r="E35" s="2" t="n"/>
      <c r="F35" s="2" t="n"/>
      <c r="G35" s="2" t="n"/>
      <c r="H35" s="2" t="n"/>
      <c r="I35" s="2" t="n"/>
      <c r="J35" s="2" t="n"/>
      <c r="K35" s="2" t="n"/>
      <c r="L35" s="2" t="n"/>
      <c r="M35" s="2" t="n"/>
      <c r="N35" s="2" t="n"/>
    </row>
    <row r="36">
      <c r="A36" s="12" t="inlineStr">
        <is>
          <t>Excess (deficiency) of revenues over (under) expenditures</t>
        </is>
      </c>
      <c r="B36" s="27">
        <f>B17-B34</f>
        <v/>
      </c>
      <c r="C36" s="27">
        <f>C17-C34</f>
        <v/>
      </c>
      <c r="D36" s="27">
        <f>D17-D34</f>
        <v/>
      </c>
      <c r="E36" s="27">
        <f>E17-E34</f>
        <v/>
      </c>
      <c r="F36" s="27">
        <f>F17-F34</f>
        <v/>
      </c>
      <c r="G36" s="27">
        <f>G17-G34</f>
        <v/>
      </c>
      <c r="H36" s="27">
        <f>H17-H34</f>
        <v/>
      </c>
      <c r="I36" s="27">
        <f>I17-I34</f>
        <v/>
      </c>
      <c r="J36" s="27">
        <f>J17-J34</f>
        <v/>
      </c>
      <c r="K36" s="27">
        <f>K17-K34</f>
        <v/>
      </c>
      <c r="L36" s="27">
        <f>L17-L34</f>
        <v/>
      </c>
      <c r="M36" s="27">
        <f>M17-M34</f>
        <v/>
      </c>
      <c r="N36" s="28">
        <f>N17-N34</f>
        <v/>
      </c>
    </row>
    <row r="37">
      <c r="A37" s="2" t="n"/>
      <c r="B37" s="2" t="n"/>
      <c r="C37" s="2" t="n"/>
      <c r="D37" s="2" t="n"/>
      <c r="E37" s="2" t="n"/>
      <c r="F37" s="2" t="n"/>
      <c r="G37" s="2" t="n"/>
      <c r="H37" s="2" t="n"/>
      <c r="I37" s="2" t="n"/>
      <c r="J37" s="2" t="n"/>
      <c r="K37" s="2" t="n"/>
      <c r="L37" s="2" t="n"/>
      <c r="M37" s="2" t="n"/>
      <c r="N37" s="2" t="n"/>
    </row>
    <row r="38">
      <c r="A38" s="19" t="inlineStr">
        <is>
          <t>OTHER FINANCING SOURCES (USES)</t>
        </is>
      </c>
      <c r="B38" s="20" t="n"/>
      <c r="C38" s="20" t="n"/>
      <c r="D38" s="20" t="n"/>
      <c r="E38" s="20" t="n"/>
      <c r="F38" s="20" t="n"/>
      <c r="G38" s="20" t="n"/>
      <c r="H38" s="20" t="n"/>
      <c r="I38" s="20" t="n"/>
      <c r="J38" s="20" t="n"/>
      <c r="K38" s="20" t="n"/>
      <c r="L38" s="20" t="n"/>
      <c r="M38" s="20" t="n"/>
      <c r="N38" s="20" t="n"/>
    </row>
    <row r="39">
      <c r="A39" s="21" t="inlineStr">
        <is>
          <t>Transfers in</t>
        </is>
      </c>
      <c r="B39" s="22">
        <f>SUMIFS(GF_Budget_Detail!$G$5:$G$295,GF_Budget_Detail!$A$5:$A$295,B$6,GF_Budget_Detail!$D$5:$D$295,"Transfers in")</f>
        <v/>
      </c>
      <c r="C39" s="22">
        <f>SUMIFS(GF_Budget_Detail!$G$5:$G$295,GF_Budget_Detail!$A$5:$A$295,C$6,GF_Budget_Detail!$D$5:$D$295,"Transfers in")</f>
        <v/>
      </c>
      <c r="D39" s="22">
        <f>SUMIFS(GF_Budget_Detail!$G$5:$G$295,GF_Budget_Detail!$A$5:$A$295,D$6,GF_Budget_Detail!$D$5:$D$295,"Transfers in")</f>
        <v/>
      </c>
      <c r="E39" s="22">
        <f>SUMIFS(GF_Budget_Detail!$G$5:$G$295,GF_Budget_Detail!$A$5:$A$295,E$6,GF_Budget_Detail!$D$5:$D$295,"Transfers in")</f>
        <v/>
      </c>
      <c r="F39" s="22">
        <f>SUMIFS(GF_Budget_Detail!$G$5:$G$295,GF_Budget_Detail!$A$5:$A$295,F$6,GF_Budget_Detail!$D$5:$D$295,"Transfers in")</f>
        <v/>
      </c>
      <c r="G39" s="22">
        <f>SUMIFS(GF_Budget_Detail!$G$5:$G$295,GF_Budget_Detail!$A$5:$A$295,G$6,GF_Budget_Detail!$D$5:$D$295,"Transfers in")</f>
        <v/>
      </c>
      <c r="H39" s="22">
        <f>SUMIFS(GF_Budget_Detail!$G$5:$G$295,GF_Budget_Detail!$A$5:$A$295,H$6,GF_Budget_Detail!$D$5:$D$295,"Transfers in")</f>
        <v/>
      </c>
      <c r="I39" s="22">
        <f>SUMIFS(GF_Budget_Detail!$G$5:$G$295,GF_Budget_Detail!$A$5:$A$295,I$6,GF_Budget_Detail!$D$5:$D$295,"Transfers in")</f>
        <v/>
      </c>
      <c r="J39" s="22">
        <f>SUMIFS(GF_Budget_Detail!$G$5:$G$295,GF_Budget_Detail!$A$5:$A$295,J$6,GF_Budget_Detail!$D$5:$D$295,"Transfers in")</f>
        <v/>
      </c>
      <c r="K39" s="22">
        <f>SUMIFS(GF_Budget_Detail!$G$5:$G$295,GF_Budget_Detail!$A$5:$A$295,K$6,GF_Budget_Detail!$D$5:$D$295,"Transfers in")</f>
        <v/>
      </c>
      <c r="L39" s="22">
        <f>SUMIFS(GF_Budget_Detail!$G$5:$G$295,GF_Budget_Detail!$A$5:$A$295,L$6,GF_Budget_Detail!$D$5:$D$295,"Transfers in")</f>
        <v/>
      </c>
      <c r="M39" s="22">
        <f>SUMIFS(GF_Budget_Detail!$G$5:$G$295,GF_Budget_Detail!$A$5:$A$295,M$6,GF_Budget_Detail!$D$5:$D$295,"Transfers in")</f>
        <v/>
      </c>
      <c r="N39" s="23">
        <f>SUMIFS(GF_Budget_Detail!$G$5:$G$295,GF_Budget_Detail!$A$5:$A$295,N$6,GF_Budget_Detail!$D$5:$D$295,"Transfers in")</f>
        <v/>
      </c>
    </row>
    <row r="40">
      <c r="A40" s="21" t="inlineStr">
        <is>
          <t>Transfers out</t>
        </is>
      </c>
      <c r="B40" s="22">
        <f>SUMIFS(GF_Budget_Detail!$G$5:$G$295,GF_Budget_Detail!$A$5:$A$295,B$6,GF_Budget_Detail!$D$5:$D$295,"Transfers out")</f>
        <v/>
      </c>
      <c r="C40" s="22">
        <f>SUMIFS(GF_Budget_Detail!$G$5:$G$295,GF_Budget_Detail!$A$5:$A$295,C$6,GF_Budget_Detail!$D$5:$D$295,"Transfers out")</f>
        <v/>
      </c>
      <c r="D40" s="22">
        <f>SUMIFS(GF_Budget_Detail!$G$5:$G$295,GF_Budget_Detail!$A$5:$A$295,D$6,GF_Budget_Detail!$D$5:$D$295,"Transfers out")</f>
        <v/>
      </c>
      <c r="E40" s="22">
        <f>SUMIFS(GF_Budget_Detail!$G$5:$G$295,GF_Budget_Detail!$A$5:$A$295,E$6,GF_Budget_Detail!$D$5:$D$295,"Transfers out")</f>
        <v/>
      </c>
      <c r="F40" s="22">
        <f>SUMIFS(GF_Budget_Detail!$G$5:$G$295,GF_Budget_Detail!$A$5:$A$295,F$6,GF_Budget_Detail!$D$5:$D$295,"Transfers out")</f>
        <v/>
      </c>
      <c r="G40" s="22">
        <f>SUMIFS(GF_Budget_Detail!$G$5:$G$295,GF_Budget_Detail!$A$5:$A$295,G$6,GF_Budget_Detail!$D$5:$D$295,"Transfers out")</f>
        <v/>
      </c>
      <c r="H40" s="22">
        <f>SUMIFS(GF_Budget_Detail!$G$5:$G$295,GF_Budget_Detail!$A$5:$A$295,H$6,GF_Budget_Detail!$D$5:$D$295,"Transfers out")</f>
        <v/>
      </c>
      <c r="I40" s="22">
        <f>SUMIFS(GF_Budget_Detail!$G$5:$G$295,GF_Budget_Detail!$A$5:$A$295,I$6,GF_Budget_Detail!$D$5:$D$295,"Transfers out")</f>
        <v/>
      </c>
      <c r="J40" s="22">
        <f>SUMIFS(GF_Budget_Detail!$G$5:$G$295,GF_Budget_Detail!$A$5:$A$295,J$6,GF_Budget_Detail!$D$5:$D$295,"Transfers out")</f>
        <v/>
      </c>
      <c r="K40" s="22">
        <f>SUMIFS(GF_Budget_Detail!$G$5:$G$295,GF_Budget_Detail!$A$5:$A$295,K$6,GF_Budget_Detail!$D$5:$D$295,"Transfers out")</f>
        <v/>
      </c>
      <c r="L40" s="22">
        <f>SUMIFS(GF_Budget_Detail!$G$5:$G$295,GF_Budget_Detail!$A$5:$A$295,L$6,GF_Budget_Detail!$D$5:$D$295,"Transfers out")</f>
        <v/>
      </c>
      <c r="M40" s="22">
        <f>SUMIFS(GF_Budget_Detail!$G$5:$G$295,GF_Budget_Detail!$A$5:$A$295,M$6,GF_Budget_Detail!$D$5:$D$295,"Transfers out")</f>
        <v/>
      </c>
      <c r="N40" s="23">
        <f>SUMIFS(GF_Budget_Detail!$G$5:$G$295,GF_Budget_Detail!$A$5:$A$295,N$6,GF_Budget_Detail!$D$5:$D$295,"Transfers out")</f>
        <v/>
      </c>
    </row>
    <row r="41">
      <c r="A41" s="21" t="inlineStr">
        <is>
          <t>Debt issuance / lease financing</t>
        </is>
      </c>
      <c r="B41" s="22">
        <f>SUMIFS(GF_Budget_Detail!$G$5:$G$295,GF_Budget_Detail!$A$5:$A$295,B$6,GF_Budget_Detail!$D$5:$D$295,"Debt / lease financing proceeds")</f>
        <v/>
      </c>
      <c r="C41" s="22">
        <f>SUMIFS(GF_Budget_Detail!$G$5:$G$295,GF_Budget_Detail!$A$5:$A$295,C$6,GF_Budget_Detail!$D$5:$D$295,"Debt / lease financing proceeds")</f>
        <v/>
      </c>
      <c r="D41" s="22">
        <f>SUMIFS(GF_Budget_Detail!$G$5:$G$295,GF_Budget_Detail!$A$5:$A$295,D$6,GF_Budget_Detail!$D$5:$D$295,"Debt / lease financing proceeds")</f>
        <v/>
      </c>
      <c r="E41" s="22">
        <f>SUMIFS(GF_Budget_Detail!$G$5:$G$295,GF_Budget_Detail!$A$5:$A$295,E$6,GF_Budget_Detail!$D$5:$D$295,"Debt / lease financing proceeds")</f>
        <v/>
      </c>
      <c r="F41" s="22">
        <f>SUMIFS(GF_Budget_Detail!$G$5:$G$295,GF_Budget_Detail!$A$5:$A$295,F$6,GF_Budget_Detail!$D$5:$D$295,"Debt / lease financing proceeds")</f>
        <v/>
      </c>
      <c r="G41" s="22">
        <f>SUMIFS(GF_Budget_Detail!$G$5:$G$295,GF_Budget_Detail!$A$5:$A$295,G$6,GF_Budget_Detail!$D$5:$D$295,"Debt / lease financing proceeds")</f>
        <v/>
      </c>
      <c r="H41" s="22">
        <f>SUMIFS(GF_Budget_Detail!$G$5:$G$295,GF_Budget_Detail!$A$5:$A$295,H$6,GF_Budget_Detail!$D$5:$D$295,"Debt / lease financing proceeds")</f>
        <v/>
      </c>
      <c r="I41" s="22">
        <f>SUMIFS(GF_Budget_Detail!$G$5:$G$295,GF_Budget_Detail!$A$5:$A$295,I$6,GF_Budget_Detail!$D$5:$D$295,"Debt / lease financing proceeds")</f>
        <v/>
      </c>
      <c r="J41" s="22">
        <f>SUMIFS(GF_Budget_Detail!$G$5:$G$295,GF_Budget_Detail!$A$5:$A$295,J$6,GF_Budget_Detail!$D$5:$D$295,"Debt / lease financing proceeds")</f>
        <v/>
      </c>
      <c r="K41" s="22">
        <f>SUMIFS(GF_Budget_Detail!$G$5:$G$295,GF_Budget_Detail!$A$5:$A$295,K$6,GF_Budget_Detail!$D$5:$D$295,"Debt / lease financing proceeds")</f>
        <v/>
      </c>
      <c r="L41" s="22">
        <f>SUMIFS(GF_Budget_Detail!$G$5:$G$295,GF_Budget_Detail!$A$5:$A$295,L$6,GF_Budget_Detail!$D$5:$D$295,"Debt / lease financing proceeds")</f>
        <v/>
      </c>
      <c r="M41" s="22">
        <f>SUMIFS(GF_Budget_Detail!$G$5:$G$295,GF_Budget_Detail!$A$5:$A$295,M$6,GF_Budget_Detail!$D$5:$D$295,"Debt / lease financing proceeds")</f>
        <v/>
      </c>
      <c r="N41" s="23">
        <f>SUMIFS(GF_Budget_Detail!$G$5:$G$295,GF_Budget_Detail!$A$5:$A$295,N$6,GF_Budget_Detail!$D$5:$D$295,"Debt / lease financing proceeds")</f>
        <v/>
      </c>
    </row>
    <row r="42">
      <c r="A42" s="21" t="inlineStr">
        <is>
          <t>Proceeds from sale of capital assets</t>
        </is>
      </c>
      <c r="B42" s="22">
        <f>SUMIFS(GF_Budget_Detail!$G$5:$G$295,GF_Budget_Detail!$A$5:$A$295,B$6,GF_Budget_Detail!$D$5:$D$295,"Proceeds from sale of capital assets")</f>
        <v/>
      </c>
      <c r="C42" s="22">
        <f>SUMIFS(GF_Budget_Detail!$G$5:$G$295,GF_Budget_Detail!$A$5:$A$295,C$6,GF_Budget_Detail!$D$5:$D$295,"Proceeds from sale of capital assets")</f>
        <v/>
      </c>
      <c r="D42" s="22">
        <f>SUMIFS(GF_Budget_Detail!$G$5:$G$295,GF_Budget_Detail!$A$5:$A$295,D$6,GF_Budget_Detail!$D$5:$D$295,"Proceeds from sale of capital assets")</f>
        <v/>
      </c>
      <c r="E42" s="22">
        <f>SUMIFS(GF_Budget_Detail!$G$5:$G$295,GF_Budget_Detail!$A$5:$A$295,E$6,GF_Budget_Detail!$D$5:$D$295,"Proceeds from sale of capital assets")</f>
        <v/>
      </c>
      <c r="F42" s="22">
        <f>SUMIFS(GF_Budget_Detail!$G$5:$G$295,GF_Budget_Detail!$A$5:$A$295,F$6,GF_Budget_Detail!$D$5:$D$295,"Proceeds from sale of capital assets")</f>
        <v/>
      </c>
      <c r="G42" s="22">
        <f>SUMIFS(GF_Budget_Detail!$G$5:$G$295,GF_Budget_Detail!$A$5:$A$295,G$6,GF_Budget_Detail!$D$5:$D$295,"Proceeds from sale of capital assets")</f>
        <v/>
      </c>
      <c r="H42" s="22">
        <f>SUMIFS(GF_Budget_Detail!$G$5:$G$295,GF_Budget_Detail!$A$5:$A$295,H$6,GF_Budget_Detail!$D$5:$D$295,"Proceeds from sale of capital assets")</f>
        <v/>
      </c>
      <c r="I42" s="22">
        <f>SUMIFS(GF_Budget_Detail!$G$5:$G$295,GF_Budget_Detail!$A$5:$A$295,I$6,GF_Budget_Detail!$D$5:$D$295,"Proceeds from sale of capital assets")</f>
        <v/>
      </c>
      <c r="J42" s="22">
        <f>SUMIFS(GF_Budget_Detail!$G$5:$G$295,GF_Budget_Detail!$A$5:$A$295,J$6,GF_Budget_Detail!$D$5:$D$295,"Proceeds from sale of capital assets")</f>
        <v/>
      </c>
      <c r="K42" s="22">
        <f>SUMIFS(GF_Budget_Detail!$G$5:$G$295,GF_Budget_Detail!$A$5:$A$295,K$6,GF_Budget_Detail!$D$5:$D$295,"Proceeds from sale of capital assets")</f>
        <v/>
      </c>
      <c r="L42" s="22">
        <f>SUMIFS(GF_Budget_Detail!$G$5:$G$295,GF_Budget_Detail!$A$5:$A$295,L$6,GF_Budget_Detail!$D$5:$D$295,"Proceeds from sale of capital assets")</f>
        <v/>
      </c>
      <c r="M42" s="22">
        <f>SUMIFS(GF_Budget_Detail!$G$5:$G$295,GF_Budget_Detail!$A$5:$A$295,M$6,GF_Budget_Detail!$D$5:$D$295,"Proceeds from sale of capital assets")</f>
        <v/>
      </c>
      <c r="N42" s="23">
        <f>SUMIFS(GF_Budget_Detail!$G$5:$G$295,GF_Budget_Detail!$A$5:$A$295,N$6,GF_Budget_Detail!$D$5:$D$295,"Proceeds from sale of capital assets")</f>
        <v/>
      </c>
    </row>
    <row r="43">
      <c r="A43" s="12" t="inlineStr">
        <is>
          <t>Total other financing sources (uses)</t>
        </is>
      </c>
      <c r="B43" s="24">
        <f>SUM(B39:B42)</f>
        <v/>
      </c>
      <c r="C43" s="24">
        <f>SUM(C39:C42)</f>
        <v/>
      </c>
      <c r="D43" s="24">
        <f>SUM(D39:D42)</f>
        <v/>
      </c>
      <c r="E43" s="24">
        <f>SUM(E39:E42)</f>
        <v/>
      </c>
      <c r="F43" s="24">
        <f>SUM(F39:F42)</f>
        <v/>
      </c>
      <c r="G43" s="24">
        <f>SUM(G39:G42)</f>
        <v/>
      </c>
      <c r="H43" s="24">
        <f>SUM(H39:H42)</f>
        <v/>
      </c>
      <c r="I43" s="24">
        <f>SUM(I39:I42)</f>
        <v/>
      </c>
      <c r="J43" s="24">
        <f>SUM(J39:J42)</f>
        <v/>
      </c>
      <c r="K43" s="24">
        <f>SUM(K39:K42)</f>
        <v/>
      </c>
      <c r="L43" s="24">
        <f>SUM(L39:L42)</f>
        <v/>
      </c>
      <c r="M43" s="24">
        <f>SUM(M39:M42)</f>
        <v/>
      </c>
      <c r="N43" s="25">
        <f>SUM(N39:N42)</f>
        <v/>
      </c>
    </row>
    <row r="44">
      <c r="A44" s="2" t="n"/>
      <c r="B44" s="2" t="n"/>
      <c r="C44" s="2" t="n"/>
      <c r="D44" s="2" t="n"/>
      <c r="E44" s="2" t="n"/>
      <c r="F44" s="2" t="n"/>
      <c r="G44" s="2" t="n"/>
      <c r="H44" s="2" t="n"/>
      <c r="I44" s="2" t="n"/>
      <c r="J44" s="2" t="n"/>
      <c r="K44" s="2" t="n"/>
      <c r="L44" s="2" t="n"/>
      <c r="M44" s="2" t="n"/>
      <c r="N44" s="2" t="n"/>
    </row>
    <row r="45">
      <c r="A45" s="19" t="inlineStr">
        <is>
          <t>SPECIAL ITEMS (GASB 34; 'unusual or infrequent items' under GASB 103 from FY2026)</t>
        </is>
      </c>
      <c r="B45" s="20" t="n"/>
      <c r="C45" s="20" t="n"/>
      <c r="D45" s="20" t="n"/>
      <c r="E45" s="20" t="n"/>
      <c r="F45" s="20" t="n"/>
      <c r="G45" s="20" t="n"/>
      <c r="H45" s="20" t="n"/>
      <c r="I45" s="20" t="n"/>
      <c r="J45" s="20" t="n"/>
      <c r="K45" s="20" t="n"/>
      <c r="L45" s="20" t="n"/>
      <c r="M45" s="20" t="n"/>
      <c r="N45" s="20" t="n"/>
    </row>
    <row r="46">
      <c r="A46" s="21" t="inlineStr">
        <is>
          <t>Special items</t>
        </is>
      </c>
      <c r="B46" s="22">
        <f>SUMIFS(GF_Budget_Detail!$G$5:$G$295,GF_Budget_Detail!$A$5:$A$295,B$6,GF_Budget_Detail!$D$5:$D$295,"Special items")</f>
        <v/>
      </c>
      <c r="C46" s="22">
        <f>SUMIFS(GF_Budget_Detail!$G$5:$G$295,GF_Budget_Detail!$A$5:$A$295,C$6,GF_Budget_Detail!$D$5:$D$295,"Special items")</f>
        <v/>
      </c>
      <c r="D46" s="22">
        <f>SUMIFS(GF_Budget_Detail!$G$5:$G$295,GF_Budget_Detail!$A$5:$A$295,D$6,GF_Budget_Detail!$D$5:$D$295,"Special items")</f>
        <v/>
      </c>
      <c r="E46" s="22">
        <f>SUMIFS(GF_Budget_Detail!$G$5:$G$295,GF_Budget_Detail!$A$5:$A$295,E$6,GF_Budget_Detail!$D$5:$D$295,"Special items")</f>
        <v/>
      </c>
      <c r="F46" s="22">
        <f>SUMIFS(GF_Budget_Detail!$G$5:$G$295,GF_Budget_Detail!$A$5:$A$295,F$6,GF_Budget_Detail!$D$5:$D$295,"Special items")</f>
        <v/>
      </c>
      <c r="G46" s="22">
        <f>SUMIFS(GF_Budget_Detail!$G$5:$G$295,GF_Budget_Detail!$A$5:$A$295,G$6,GF_Budget_Detail!$D$5:$D$295,"Special items")</f>
        <v/>
      </c>
      <c r="H46" s="22">
        <f>SUMIFS(GF_Budget_Detail!$G$5:$G$295,GF_Budget_Detail!$A$5:$A$295,H$6,GF_Budget_Detail!$D$5:$D$295,"Special items")</f>
        <v/>
      </c>
      <c r="I46" s="22">
        <f>SUMIFS(GF_Budget_Detail!$G$5:$G$295,GF_Budget_Detail!$A$5:$A$295,I$6,GF_Budget_Detail!$D$5:$D$295,"Special items")</f>
        <v/>
      </c>
      <c r="J46" s="22">
        <f>SUMIFS(GF_Budget_Detail!$G$5:$G$295,GF_Budget_Detail!$A$5:$A$295,J$6,GF_Budget_Detail!$D$5:$D$295,"Special items")</f>
        <v/>
      </c>
      <c r="K46" s="22">
        <f>SUMIFS(GF_Budget_Detail!$G$5:$G$295,GF_Budget_Detail!$A$5:$A$295,K$6,GF_Budget_Detail!$D$5:$D$295,"Special items")</f>
        <v/>
      </c>
      <c r="L46" s="22">
        <f>SUMIFS(GF_Budget_Detail!$G$5:$G$295,GF_Budget_Detail!$A$5:$A$295,L$6,GF_Budget_Detail!$D$5:$D$295,"Special items")</f>
        <v/>
      </c>
      <c r="M46" s="22">
        <f>SUMIFS(GF_Budget_Detail!$G$5:$G$295,GF_Budget_Detail!$A$5:$A$295,M$6,GF_Budget_Detail!$D$5:$D$295,"Special items")</f>
        <v/>
      </c>
      <c r="N46" s="23">
        <f>SUMIFS(GF_Budget_Detail!$G$5:$G$295,GF_Budget_Detail!$A$5:$A$295,N$6,GF_Budget_Detail!$D$5:$D$295,"Special items")</f>
        <v/>
      </c>
    </row>
    <row r="47">
      <c r="A47" s="2" t="n"/>
      <c r="B47" s="2" t="n"/>
      <c r="C47" s="2" t="n"/>
      <c r="D47" s="2" t="n"/>
      <c r="E47" s="2" t="n"/>
      <c r="F47" s="2" t="n"/>
      <c r="G47" s="2" t="n"/>
      <c r="H47" s="2" t="n"/>
      <c r="I47" s="2" t="n"/>
      <c r="J47" s="2" t="n"/>
      <c r="K47" s="2" t="n"/>
      <c r="L47" s="2" t="n"/>
      <c r="M47" s="2" t="n"/>
      <c r="N47" s="2" t="n"/>
    </row>
    <row r="48">
      <c r="A48" s="12" t="inlineStr">
        <is>
          <t>Net change in fund balance</t>
        </is>
      </c>
      <c r="B48" s="24">
        <f>B36+B43+B46</f>
        <v/>
      </c>
      <c r="C48" s="24">
        <f>C36+C43+C46</f>
        <v/>
      </c>
      <c r="D48" s="24">
        <f>D36+D43+D46</f>
        <v/>
      </c>
      <c r="E48" s="24">
        <f>E36+E43+E46</f>
        <v/>
      </c>
      <c r="F48" s="24">
        <f>F36+F43+F46</f>
        <v/>
      </c>
      <c r="G48" s="24">
        <f>G36+G43+G46</f>
        <v/>
      </c>
      <c r="H48" s="24">
        <f>H36+H43+H46</f>
        <v/>
      </c>
      <c r="I48" s="24">
        <f>I36+I43+I46</f>
        <v/>
      </c>
      <c r="J48" s="24">
        <f>J36+J43+J46</f>
        <v/>
      </c>
      <c r="K48" s="24">
        <f>K36+K43+K46</f>
        <v/>
      </c>
      <c r="L48" s="24">
        <f>L36+L43+L46</f>
        <v/>
      </c>
      <c r="M48" s="24">
        <f>M36+M43+M46</f>
        <v/>
      </c>
      <c r="N48" s="25">
        <f>N36+N43+N46</f>
        <v/>
      </c>
    </row>
    <row r="49">
      <c r="A49" s="2" t="n"/>
      <c r="B49" s="2" t="n"/>
      <c r="C49" s="2" t="n"/>
      <c r="D49" s="2" t="n"/>
      <c r="E49" s="2" t="n"/>
      <c r="F49" s="2" t="n"/>
      <c r="G49" s="2" t="n"/>
      <c r="H49" s="2" t="n"/>
      <c r="I49" s="2" t="n"/>
      <c r="J49" s="2" t="n"/>
      <c r="K49" s="2" t="n"/>
      <c r="L49" s="2" t="n"/>
      <c r="M49" s="2" t="n"/>
      <c r="N49" s="2" t="n"/>
    </row>
    <row r="50">
      <c r="A50" s="13" t="inlineStr">
        <is>
          <t>Fund balance - beginning, as previously reported</t>
        </is>
      </c>
      <c r="B50" s="29" t="n">
        <v>2341238</v>
      </c>
      <c r="C50" s="22">
        <f>B53</f>
        <v/>
      </c>
      <c r="D50" s="22">
        <f>C53</f>
        <v/>
      </c>
      <c r="E50" s="22">
        <f>D53</f>
        <v/>
      </c>
      <c r="F50" s="22">
        <f>E53</f>
        <v/>
      </c>
      <c r="G50" s="22">
        <f>F53</f>
        <v/>
      </c>
      <c r="H50" s="22">
        <f>G53</f>
        <v/>
      </c>
      <c r="I50" s="22">
        <f>H53</f>
        <v/>
      </c>
      <c r="J50" s="22">
        <f>I53</f>
        <v/>
      </c>
      <c r="K50" s="22">
        <f>J53</f>
        <v/>
      </c>
      <c r="L50" s="22">
        <f>K53</f>
        <v/>
      </c>
      <c r="M50" s="22">
        <f>L53</f>
        <v/>
      </c>
      <c r="N50" s="23">
        <f>M53</f>
        <v/>
      </c>
    </row>
    <row r="51">
      <c r="A51" s="21" t="inlineStr">
        <is>
          <t>Adjustment to beginning balance - restatement / error correction (GASB 100)</t>
        </is>
      </c>
      <c r="B51" s="29" t="n">
        <v>0</v>
      </c>
      <c r="C51" s="29" t="n">
        <v>0</v>
      </c>
      <c r="D51" s="29" t="n">
        <v>0</v>
      </c>
      <c r="E51" s="29" t="n">
        <v>-1278327</v>
      </c>
      <c r="F51" s="29" t="n">
        <v>0</v>
      </c>
      <c r="G51" s="29" t="n">
        <v>0</v>
      </c>
      <c r="H51" s="29" t="n">
        <v>17729</v>
      </c>
      <c r="I51" s="29" t="n">
        <v>0</v>
      </c>
      <c r="J51" s="29" t="n">
        <v>0</v>
      </c>
      <c r="K51" s="29" t="n">
        <v>-409799</v>
      </c>
      <c r="L51" s="29" t="n">
        <v>404</v>
      </c>
      <c r="M51" s="29" t="n">
        <v>0</v>
      </c>
      <c r="N51" s="30" t="n">
        <v>0</v>
      </c>
    </row>
    <row r="52">
      <c r="A52" s="13" t="inlineStr">
        <is>
          <t>Fund balance - beginning, as restated</t>
        </is>
      </c>
      <c r="B52" s="22">
        <f>B50+B51</f>
        <v/>
      </c>
      <c r="C52" s="22">
        <f>C50+C51</f>
        <v/>
      </c>
      <c r="D52" s="22">
        <f>D50+D51</f>
        <v/>
      </c>
      <c r="E52" s="22">
        <f>E50+E51</f>
        <v/>
      </c>
      <c r="F52" s="22">
        <f>F50+F51</f>
        <v/>
      </c>
      <c r="G52" s="22">
        <f>G50+G51</f>
        <v/>
      </c>
      <c r="H52" s="22">
        <f>H50+H51</f>
        <v/>
      </c>
      <c r="I52" s="22">
        <f>I50+I51</f>
        <v/>
      </c>
      <c r="J52" s="22">
        <f>J50+J51</f>
        <v/>
      </c>
      <c r="K52" s="22">
        <f>K50+K51</f>
        <v/>
      </c>
      <c r="L52" s="22">
        <f>L50+L51</f>
        <v/>
      </c>
      <c r="M52" s="22">
        <f>M50+M51</f>
        <v/>
      </c>
      <c r="N52" s="23">
        <f>N50+N51</f>
        <v/>
      </c>
    </row>
    <row r="53">
      <c r="A53" s="12" t="inlineStr">
        <is>
          <t>Fund balance - ending</t>
        </is>
      </c>
      <c r="B53" s="31">
        <f>B52+B48</f>
        <v/>
      </c>
      <c r="C53" s="31">
        <f>C52+C48</f>
        <v/>
      </c>
      <c r="D53" s="31">
        <f>D52+D48</f>
        <v/>
      </c>
      <c r="E53" s="31">
        <f>E52+E48</f>
        <v/>
      </c>
      <c r="F53" s="31">
        <f>F52+F48</f>
        <v/>
      </c>
      <c r="G53" s="31">
        <f>G52+G48</f>
        <v/>
      </c>
      <c r="H53" s="31">
        <f>H52+H48</f>
        <v/>
      </c>
      <c r="I53" s="31">
        <f>I52+I48</f>
        <v/>
      </c>
      <c r="J53" s="31">
        <f>J52+J48</f>
        <v/>
      </c>
      <c r="K53" s="31">
        <f>K52+K48</f>
        <v/>
      </c>
      <c r="L53" s="31">
        <f>L52+L48</f>
        <v/>
      </c>
      <c r="M53" s="31">
        <f>M52+M48</f>
        <v/>
      </c>
      <c r="N53" s="32">
        <f>N52+N48</f>
        <v/>
      </c>
    </row>
    <row r="54">
      <c r="A54" s="2" t="n"/>
      <c r="B54" s="2" t="n"/>
      <c r="C54" s="2" t="n"/>
      <c r="D54" s="2" t="n"/>
      <c r="E54" s="2" t="n"/>
      <c r="F54" s="2" t="n"/>
      <c r="G54" s="2" t="n"/>
      <c r="H54" s="2" t="n"/>
      <c r="I54" s="2" t="n"/>
      <c r="J54" s="2" t="n"/>
      <c r="K54" s="2" t="n"/>
      <c r="L54" s="2" t="n"/>
      <c r="M54" s="2" t="n"/>
      <c r="N54" s="2" t="n"/>
    </row>
    <row r="55">
      <c r="A55" s="19" t="inlineStr">
        <is>
          <t>TREND MEASURES (GASB 44 / GFOA)</t>
        </is>
      </c>
      <c r="B55" s="20" t="n"/>
      <c r="C55" s="20" t="n"/>
      <c r="D55" s="20" t="n"/>
      <c r="E55" s="20" t="n"/>
      <c r="F55" s="20" t="n"/>
      <c r="G55" s="20" t="n"/>
      <c r="H55" s="20" t="n"/>
      <c r="I55" s="20" t="n"/>
      <c r="J55" s="20" t="n"/>
      <c r="K55" s="20" t="n"/>
      <c r="L55" s="20" t="n"/>
      <c r="M55" s="20" t="n"/>
      <c r="N55" s="20" t="n"/>
    </row>
    <row r="56">
      <c r="A56" s="13" t="inlineStr">
        <is>
          <t>Total revenues - % change from prior year</t>
        </is>
      </c>
      <c r="B56" s="33" t="inlineStr"/>
      <c r="C56" s="33">
        <f>IFERROR(C17/B17-1,0)</f>
        <v/>
      </c>
      <c r="D56" s="33">
        <f>IFERROR(D17/C17-1,0)</f>
        <v/>
      </c>
      <c r="E56" s="33">
        <f>IFERROR(E17/D17-1,0)</f>
        <v/>
      </c>
      <c r="F56" s="33">
        <f>IFERROR(F17/E17-1,0)</f>
        <v/>
      </c>
      <c r="G56" s="33">
        <f>IFERROR(G17/F17-1,0)</f>
        <v/>
      </c>
      <c r="H56" s="33">
        <f>IFERROR(H17/G17-1,0)</f>
        <v/>
      </c>
      <c r="I56" s="33">
        <f>IFERROR(I17/H17-1,0)</f>
        <v/>
      </c>
      <c r="J56" s="33">
        <f>IFERROR(J17/I17-1,0)</f>
        <v/>
      </c>
      <c r="K56" s="33">
        <f>IFERROR(K17/J17-1,0)</f>
        <v/>
      </c>
      <c r="L56" s="33">
        <f>IFERROR(L17/K17-1,0)</f>
        <v/>
      </c>
      <c r="M56" s="33">
        <f>IFERROR(M17/L17-1,0)</f>
        <v/>
      </c>
      <c r="N56" s="34">
        <f>IFERROR(N17/M17-1,0)</f>
        <v/>
      </c>
    </row>
    <row r="57">
      <c r="A57" s="13" t="inlineStr">
        <is>
          <t>Total expenditures - % change from prior year</t>
        </is>
      </c>
      <c r="B57" s="33" t="inlineStr"/>
      <c r="C57" s="33">
        <f>IFERROR(C34/B34-1,0)</f>
        <v/>
      </c>
      <c r="D57" s="33">
        <f>IFERROR(D34/C34-1,0)</f>
        <v/>
      </c>
      <c r="E57" s="33">
        <f>IFERROR(E34/D34-1,0)</f>
        <v/>
      </c>
      <c r="F57" s="33">
        <f>IFERROR(F34/E34-1,0)</f>
        <v/>
      </c>
      <c r="G57" s="33">
        <f>IFERROR(G34/F34-1,0)</f>
        <v/>
      </c>
      <c r="H57" s="33">
        <f>IFERROR(H34/G34-1,0)</f>
        <v/>
      </c>
      <c r="I57" s="33">
        <f>IFERROR(I34/H34-1,0)</f>
        <v/>
      </c>
      <c r="J57" s="33">
        <f>IFERROR(J34/I34-1,0)</f>
        <v/>
      </c>
      <c r="K57" s="33">
        <f>IFERROR(K34/J34-1,0)</f>
        <v/>
      </c>
      <c r="L57" s="33">
        <f>IFERROR(L34/K34-1,0)</f>
        <v/>
      </c>
      <c r="M57" s="33">
        <f>IFERROR(M34/L34-1,0)</f>
        <v/>
      </c>
      <c r="N57" s="34">
        <f>IFERROR(N34/M34-1,0)</f>
        <v/>
      </c>
    </row>
    <row r="58">
      <c r="A58" s="13" t="inlineStr">
        <is>
          <t>Debt service as % of noncapital expenditures</t>
        </is>
      </c>
      <c r="B58" s="33">
        <f>IFERROR((B32+B33)/(B34-B30),0)</f>
        <v/>
      </c>
      <c r="C58" s="33">
        <f>IFERROR((C32+C33)/(C34-C30),0)</f>
        <v/>
      </c>
      <c r="D58" s="33">
        <f>IFERROR((D32+D33)/(D34-D30),0)</f>
        <v/>
      </c>
      <c r="E58" s="33">
        <f>IFERROR((E32+E33)/(E34-E30),0)</f>
        <v/>
      </c>
      <c r="F58" s="33">
        <f>IFERROR((F32+F33)/(F34-F30),0)</f>
        <v/>
      </c>
      <c r="G58" s="33">
        <f>IFERROR((G32+G33)/(G34-G30),0)</f>
        <v/>
      </c>
      <c r="H58" s="33">
        <f>IFERROR((H32+H33)/(H34-H30),0)</f>
        <v/>
      </c>
      <c r="I58" s="33">
        <f>IFERROR((I32+I33)/(I34-I30),0)</f>
        <v/>
      </c>
      <c r="J58" s="33">
        <f>IFERROR((J32+J33)/(J34-J30),0)</f>
        <v/>
      </c>
      <c r="K58" s="33">
        <f>IFERROR((K32+K33)/(K34-K30),0)</f>
        <v/>
      </c>
      <c r="L58" s="33">
        <f>IFERROR((L32+L33)/(L34-L30),0)</f>
        <v/>
      </c>
      <c r="M58" s="33">
        <f>IFERROR((M32+M33)/(M34-M30),0)</f>
        <v/>
      </c>
      <c r="N58" s="34">
        <f>IFERROR((N32+N33)/(N34-N30),0)</f>
        <v/>
      </c>
    </row>
    <row r="59">
      <c r="A59" s="13" t="inlineStr">
        <is>
          <t>Expenditures + transfers out (total uses)</t>
        </is>
      </c>
      <c r="B59" s="22">
        <f>B34-B40</f>
        <v/>
      </c>
      <c r="C59" s="22">
        <f>C34-C40</f>
        <v/>
      </c>
      <c r="D59" s="22">
        <f>D34-D40</f>
        <v/>
      </c>
      <c r="E59" s="22">
        <f>E34-E40</f>
        <v/>
      </c>
      <c r="F59" s="22">
        <f>F34-F40</f>
        <v/>
      </c>
      <c r="G59" s="22">
        <f>G34-G40</f>
        <v/>
      </c>
      <c r="H59" s="22">
        <f>H34-H40</f>
        <v/>
      </c>
      <c r="I59" s="22">
        <f>I34-I40</f>
        <v/>
      </c>
      <c r="J59" s="22">
        <f>J34-J40</f>
        <v/>
      </c>
      <c r="K59" s="22">
        <f>K34-K40</f>
        <v/>
      </c>
      <c r="L59" s="22">
        <f>L34-L40</f>
        <v/>
      </c>
      <c r="M59" s="22">
        <f>M34-M40</f>
        <v/>
      </c>
      <c r="N59" s="23">
        <f>N34-N40</f>
        <v/>
      </c>
    </row>
    <row r="60">
      <c r="A60" s="13" t="inlineStr">
        <is>
          <t>Ending fund balance as % of expenditures</t>
        </is>
      </c>
      <c r="B60" s="33">
        <f>IFERROR(B53/B34,0)</f>
        <v/>
      </c>
      <c r="C60" s="33">
        <f>IFERROR(C53/C34,0)</f>
        <v/>
      </c>
      <c r="D60" s="33">
        <f>IFERROR(D53/D34,0)</f>
        <v/>
      </c>
      <c r="E60" s="33">
        <f>IFERROR(E53/E34,0)</f>
        <v/>
      </c>
      <c r="F60" s="33">
        <f>IFERROR(F53/F34,0)</f>
        <v/>
      </c>
      <c r="G60" s="33">
        <f>IFERROR(G53/G34,0)</f>
        <v/>
      </c>
      <c r="H60" s="33">
        <f>IFERROR(H53/H34,0)</f>
        <v/>
      </c>
      <c r="I60" s="33">
        <f>IFERROR(I53/I34,0)</f>
        <v/>
      </c>
      <c r="J60" s="33">
        <f>IFERROR(J53/J34,0)</f>
        <v/>
      </c>
      <c r="K60" s="33">
        <f>IFERROR(K53/K34,0)</f>
        <v/>
      </c>
      <c r="L60" s="33">
        <f>IFERROR(L53/L34,0)</f>
        <v/>
      </c>
      <c r="M60" s="33">
        <f>IFERROR(M53/M34,0)</f>
        <v/>
      </c>
      <c r="N60" s="34">
        <f>IFERROR(N53/N34,0)</f>
        <v/>
      </c>
    </row>
    <row r="61">
      <c r="A61" s="2" t="n"/>
      <c r="B61" s="2" t="n"/>
      <c r="C61" s="2" t="n"/>
      <c r="D61" s="2" t="n"/>
      <c r="E61" s="2" t="n"/>
      <c r="F61" s="2" t="n"/>
      <c r="G61" s="2" t="n"/>
      <c r="H61" s="2" t="n"/>
      <c r="I61" s="2" t="n"/>
      <c r="J61" s="2" t="n"/>
      <c r="K61" s="2" t="n"/>
      <c r="L61" s="2" t="n"/>
      <c r="M61" s="2" t="n"/>
      <c r="N61" s="2" t="n"/>
    </row>
    <row r="62">
      <c r="A62" s="13" t="inlineStr">
        <is>
          <t>Check: beginning balance as restated per source document</t>
        </is>
      </c>
      <c r="B62" s="29" t="n">
        <v>2341238</v>
      </c>
      <c r="C62" s="29" t="n">
        <v>1270466</v>
      </c>
      <c r="D62" s="29" t="n">
        <v>1461512</v>
      </c>
      <c r="E62" s="29" t="n">
        <v>615515</v>
      </c>
      <c r="F62" s="29" t="n">
        <v>818720</v>
      </c>
      <c r="G62" s="29" t="n">
        <v>87570</v>
      </c>
      <c r="H62" s="29" t="n">
        <v>-38963</v>
      </c>
      <c r="I62" s="29" t="n">
        <v>-110021</v>
      </c>
      <c r="J62" s="29" t="n">
        <v>7143262</v>
      </c>
      <c r="K62" s="29" t="n">
        <v>16214375</v>
      </c>
      <c r="L62" s="29" t="n">
        <v>23143485</v>
      </c>
      <c r="M62" s="29" t="n">
        <v>22893338</v>
      </c>
      <c r="N62" s="30" t="n">
        <v>24250508</v>
      </c>
    </row>
    <row r="63">
      <c r="A63" s="13" t="inlineStr">
        <is>
          <t>Check: beginning as restated - source (should be 0)</t>
        </is>
      </c>
      <c r="B63" s="35">
        <f>B52-B62</f>
        <v/>
      </c>
      <c r="C63" s="35">
        <f>C52-C62</f>
        <v/>
      </c>
      <c r="D63" s="35">
        <f>D52-D62</f>
        <v/>
      </c>
      <c r="E63" s="35">
        <f>E52-E62</f>
        <v/>
      </c>
      <c r="F63" s="35">
        <f>F52-F62</f>
        <v/>
      </c>
      <c r="G63" s="35">
        <f>G52-G62</f>
        <v/>
      </c>
      <c r="H63" s="35">
        <f>H52-H62</f>
        <v/>
      </c>
      <c r="I63" s="35">
        <f>I52-I62</f>
        <v/>
      </c>
      <c r="J63" s="35">
        <f>J52-J62</f>
        <v/>
      </c>
      <c r="K63" s="35">
        <f>K52-K62</f>
        <v/>
      </c>
      <c r="L63" s="35">
        <f>L52-L62</f>
        <v/>
      </c>
      <c r="M63" s="35">
        <f>M52-M62</f>
        <v/>
      </c>
      <c r="N63" s="35">
        <f>N52-N62</f>
        <v/>
      </c>
    </row>
    <row r="64">
      <c r="A64" s="13" t="inlineStr">
        <is>
          <t>Check: ending fund balance per source document</t>
        </is>
      </c>
      <c r="B64" s="29" t="n">
        <v>1270466</v>
      </c>
      <c r="C64" s="29" t="n">
        <v>1461512</v>
      </c>
      <c r="D64" s="29" t="n">
        <v>1893842</v>
      </c>
      <c r="E64" s="29" t="n">
        <v>818720</v>
      </c>
      <c r="F64" s="29" t="n">
        <v>87570</v>
      </c>
      <c r="G64" s="29" t="n">
        <v>-56692</v>
      </c>
      <c r="H64" s="29" t="n">
        <v>-110021</v>
      </c>
      <c r="I64" s="29" t="n">
        <v>7143262</v>
      </c>
      <c r="J64" s="29" t="n">
        <v>16624174</v>
      </c>
      <c r="K64" s="29" t="n">
        <v>23143081</v>
      </c>
      <c r="L64" s="29" t="n">
        <v>22893338</v>
      </c>
      <c r="M64" s="29" t="n">
        <v>24250508</v>
      </c>
      <c r="N64" s="30" t="n">
        <v>23166797</v>
      </c>
    </row>
    <row r="65">
      <c r="A65" s="13" t="inlineStr">
        <is>
          <t>Check: ending - source (should be 0)</t>
        </is>
      </c>
      <c r="B65" s="35">
        <f>B53-B64</f>
        <v/>
      </c>
      <c r="C65" s="35">
        <f>C53-C64</f>
        <v/>
      </c>
      <c r="D65" s="35">
        <f>D53-D64</f>
        <v/>
      </c>
      <c r="E65" s="35">
        <f>E53-E64</f>
        <v/>
      </c>
      <c r="F65" s="35">
        <f>F53-F64</f>
        <v/>
      </c>
      <c r="G65" s="35">
        <f>G53-G64</f>
        <v/>
      </c>
      <c r="H65" s="35">
        <f>H53-H64</f>
        <v/>
      </c>
      <c r="I65" s="35">
        <f>I53-I64</f>
        <v/>
      </c>
      <c r="J65" s="35">
        <f>J53-J64</f>
        <v/>
      </c>
      <c r="K65" s="35">
        <f>K53-K64</f>
        <v/>
      </c>
      <c r="L65" s="35">
        <f>L53-L64</f>
        <v/>
      </c>
      <c r="M65" s="35">
        <f>M53-M64</f>
        <v/>
      </c>
      <c r="N65" s="35">
        <f>N53-N64</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3864"/>
    <outlinePr summaryBelow="1" summaryRight="1"/>
    <pageSetUpPr/>
  </sheetPr>
  <dimension ref="A1:M51"/>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GENERAL FUND ONLY</t>
        </is>
      </c>
      <c r="B1" s="2" t="n"/>
      <c r="C1" s="2" t="n"/>
      <c r="D1" s="2" t="n"/>
      <c r="E1" s="2" t="n"/>
      <c r="F1" s="2" t="n"/>
      <c r="G1" s="2" t="n"/>
      <c r="H1" s="2" t="n"/>
      <c r="I1" s="2" t="n"/>
      <c r="J1" s="2" t="n"/>
      <c r="K1" s="2" t="n"/>
      <c r="L1" s="2" t="n"/>
      <c r="M1" s="2" t="n"/>
    </row>
    <row r="2">
      <c r="A2" s="12" t="inlineStr">
        <is>
          <t>Balance Sheet, June 30, $ (General Fund column of the Governmental Funds Balance Sheet)</t>
        </is>
      </c>
      <c r="B2" s="2" t="n"/>
      <c r="C2" s="2" t="n"/>
      <c r="D2" s="2" t="n"/>
      <c r="E2" s="2" t="n"/>
      <c r="F2" s="2" t="n"/>
      <c r="G2" s="2" t="n"/>
      <c r="H2" s="2" t="n"/>
      <c r="I2" s="2" t="n"/>
      <c r="J2" s="2" t="n"/>
      <c r="K2" s="2" t="n"/>
      <c r="L2" s="2" t="n"/>
      <c r="M2" s="2" t="n"/>
    </row>
    <row r="3">
      <c r="A3" s="7" t="inlineStr">
        <is>
          <t>Modified-accrual fund statement: excludes buildings/equipment, long-term debt and pension liabilities (see the CW_ tabs for those). No FY2025-26 balance sheet has been published yet (unaudited Q4 update reports only the projected ending fund balance).</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16" t="inlineStr">
        <is>
          <t>June 30</t>
        </is>
      </c>
      <c r="B6" s="17" t="n">
        <v>2014</v>
      </c>
      <c r="C6" s="17" t="n">
        <v>2015</v>
      </c>
      <c r="D6" s="17" t="n">
        <v>2016</v>
      </c>
      <c r="E6" s="17" t="n">
        <v>2017</v>
      </c>
      <c r="F6" s="17" t="n">
        <v>2018</v>
      </c>
      <c r="G6" s="17" t="n">
        <v>2019</v>
      </c>
      <c r="H6" s="17" t="n">
        <v>2020</v>
      </c>
      <c r="I6" s="17" t="n">
        <v>2021</v>
      </c>
      <c r="J6" s="17" t="n">
        <v>2022</v>
      </c>
      <c r="K6" s="17" t="n">
        <v>2023</v>
      </c>
      <c r="L6" s="17" t="n">
        <v>2024</v>
      </c>
      <c r="M6" s="17" t="n">
        <v>2025</v>
      </c>
    </row>
    <row r="7">
      <c r="A7" s="19" t="inlineStr">
        <is>
          <t>ASSETS</t>
        </is>
      </c>
      <c r="B7" s="20" t="n"/>
      <c r="C7" s="20" t="n"/>
      <c r="D7" s="20" t="n"/>
      <c r="E7" s="20" t="n"/>
      <c r="F7" s="20" t="n"/>
      <c r="G7" s="20" t="n"/>
      <c r="H7" s="20" t="n"/>
      <c r="I7" s="20" t="n"/>
      <c r="J7" s="20" t="n"/>
      <c r="K7" s="20" t="n"/>
      <c r="L7" s="20" t="n"/>
      <c r="M7" s="20" t="n"/>
    </row>
    <row r="8">
      <c r="A8" s="21" t="inlineStr">
        <is>
          <t>Cash and investments</t>
        </is>
      </c>
      <c r="B8" s="29" t="n">
        <v>1</v>
      </c>
      <c r="C8" s="29" t="n">
        <v>1</v>
      </c>
      <c r="D8" s="29" t="n">
        <v>5116309</v>
      </c>
      <c r="E8" s="29" t="n">
        <v>3107248</v>
      </c>
      <c r="F8" s="29" t="n">
        <v>3419338</v>
      </c>
      <c r="G8" s="29" t="n">
        <v>4349089</v>
      </c>
      <c r="H8" s="29" t="n">
        <v>9016794</v>
      </c>
      <c r="I8" s="29" t="n">
        <v>13011276</v>
      </c>
      <c r="J8" s="29" t="n">
        <v>23310907</v>
      </c>
      <c r="K8" s="29" t="n">
        <v>24481528</v>
      </c>
      <c r="L8" s="29" t="n">
        <v>25339004</v>
      </c>
      <c r="M8" s="29" t="n">
        <v>25387360</v>
      </c>
    </row>
    <row r="9">
      <c r="A9" s="21" t="inlineStr">
        <is>
          <t>Cash with fiscal agents</t>
        </is>
      </c>
      <c r="B9" s="29" t="n">
        <v>150445</v>
      </c>
      <c r="C9" s="29" t="n">
        <v>10170</v>
      </c>
      <c r="D9" s="29" t="n">
        <v>10187</v>
      </c>
      <c r="E9" s="29" t="n">
        <v>10205</v>
      </c>
      <c r="F9" s="29" t="n">
        <v>0</v>
      </c>
      <c r="G9" s="29" t="n">
        <v>0</v>
      </c>
      <c r="H9" s="29" t="n">
        <v>0</v>
      </c>
      <c r="I9" s="29" t="n">
        <v>0</v>
      </c>
      <c r="J9" s="29" t="n">
        <v>0</v>
      </c>
      <c r="K9" s="29" t="n">
        <v>0</v>
      </c>
      <c r="L9" s="29" t="n">
        <v>0</v>
      </c>
      <c r="M9" s="29" t="n">
        <v>0</v>
      </c>
    </row>
    <row r="10">
      <c r="A10" s="21" t="inlineStr">
        <is>
          <t>Accounts receivable</t>
        </is>
      </c>
      <c r="B10" s="29" t="n">
        <v>187946</v>
      </c>
      <c r="C10" s="29" t="n">
        <v>29493</v>
      </c>
      <c r="D10" s="29" t="n">
        <v>155287</v>
      </c>
      <c r="E10" s="29" t="n">
        <v>3743</v>
      </c>
      <c r="F10" s="29" t="n">
        <v>9530</v>
      </c>
      <c r="G10" s="29" t="n">
        <v>0</v>
      </c>
      <c r="H10" s="29" t="n">
        <v>633574</v>
      </c>
      <c r="I10" s="29" t="n">
        <v>0</v>
      </c>
      <c r="J10" s="29" t="n">
        <v>6747</v>
      </c>
      <c r="K10" s="29" t="n">
        <v>0</v>
      </c>
      <c r="L10" s="29" t="n">
        <v>1078</v>
      </c>
      <c r="M10" s="29" t="n">
        <v>1890204</v>
      </c>
    </row>
    <row r="11">
      <c r="A11" s="21" t="inlineStr">
        <is>
          <t>Interest receivable</t>
        </is>
      </c>
      <c r="B11" s="29" t="n">
        <v>1</v>
      </c>
      <c r="C11" s="29" t="n">
        <v>0</v>
      </c>
      <c r="D11" s="29" t="n">
        <v>0</v>
      </c>
      <c r="E11" s="29" t="n">
        <v>0</v>
      </c>
      <c r="F11" s="29" t="n">
        <v>0</v>
      </c>
      <c r="G11" s="29" t="n">
        <v>0</v>
      </c>
      <c r="H11" s="29" t="n">
        <v>32158</v>
      </c>
      <c r="I11" s="29" t="n">
        <v>11858</v>
      </c>
      <c r="J11" s="29" t="n">
        <v>24077</v>
      </c>
      <c r="K11" s="29" t="n">
        <v>203968</v>
      </c>
      <c r="L11" s="29" t="n">
        <v>272482</v>
      </c>
      <c r="M11" s="29" t="n">
        <v>220648</v>
      </c>
    </row>
    <row r="12">
      <c r="A12" s="21" t="inlineStr">
        <is>
          <t>Due from other governments</t>
        </is>
      </c>
      <c r="B12" s="29" t="n">
        <v>1747713</v>
      </c>
      <c r="C12" s="29" t="n">
        <v>3253667</v>
      </c>
      <c r="D12" s="29" t="n">
        <v>1663837</v>
      </c>
      <c r="E12" s="29" t="n">
        <v>2348549</v>
      </c>
      <c r="F12" s="29" t="n">
        <v>2778497</v>
      </c>
      <c r="G12" s="29" t="n">
        <v>2113059</v>
      </c>
      <c r="H12" s="29" t="n">
        <v>1249313</v>
      </c>
      <c r="I12" s="29" t="n">
        <v>2955585</v>
      </c>
      <c r="J12" s="29" t="n">
        <v>1027427</v>
      </c>
      <c r="K12" s="29" t="n">
        <v>3481165</v>
      </c>
      <c r="L12" s="29" t="n">
        <v>3291852</v>
      </c>
      <c r="M12" s="29" t="n">
        <v>1952392</v>
      </c>
    </row>
    <row r="13">
      <c r="A13" s="21" t="inlineStr">
        <is>
          <t>Due from other funds</t>
        </is>
      </c>
      <c r="B13" s="29" t="n">
        <v>310035</v>
      </c>
      <c r="C13" s="29" t="n">
        <v>0</v>
      </c>
      <c r="D13" s="29" t="n">
        <v>1270421</v>
      </c>
      <c r="E13" s="29" t="n">
        <v>1671263</v>
      </c>
      <c r="F13" s="29" t="n">
        <v>385338</v>
      </c>
      <c r="G13" s="29" t="n">
        <v>951617</v>
      </c>
      <c r="H13" s="29" t="n">
        <v>374902</v>
      </c>
      <c r="I13" s="29" t="n">
        <v>2846549</v>
      </c>
      <c r="J13" s="29" t="n">
        <v>3051028</v>
      </c>
      <c r="K13" s="29" t="n">
        <v>303058</v>
      </c>
      <c r="L13" s="29" t="n">
        <v>0</v>
      </c>
      <c r="M13" s="29" t="n">
        <v>467019</v>
      </c>
    </row>
    <row r="14">
      <c r="A14" s="21" t="inlineStr">
        <is>
          <t>Advances to other funds</t>
        </is>
      </c>
      <c r="B14" s="29" t="n">
        <v>0</v>
      </c>
      <c r="C14" s="29" t="n">
        <v>0</v>
      </c>
      <c r="D14" s="29" t="n">
        <v>0</v>
      </c>
      <c r="E14" s="29" t="n">
        <v>0</v>
      </c>
      <c r="F14" s="29" t="n">
        <v>988351</v>
      </c>
      <c r="G14" s="29" t="n">
        <v>317967</v>
      </c>
      <c r="H14" s="29" t="n">
        <v>315306</v>
      </c>
      <c r="I14" s="29" t="n">
        <v>0</v>
      </c>
      <c r="J14" s="29" t="n">
        <v>0</v>
      </c>
      <c r="K14" s="29" t="n">
        <v>0</v>
      </c>
      <c r="L14" s="29" t="n">
        <v>0</v>
      </c>
      <c r="M14" s="29" t="n">
        <v>0</v>
      </c>
    </row>
    <row r="15">
      <c r="A15" s="21" t="inlineStr">
        <is>
          <t>Advance to Successor Agency (former RDA)</t>
        </is>
      </c>
      <c r="B15" s="29" t="n">
        <v>0</v>
      </c>
      <c r="C15" s="29" t="n">
        <v>0</v>
      </c>
      <c r="D15" s="29" t="n">
        <v>0</v>
      </c>
      <c r="E15" s="29" t="n">
        <v>873766</v>
      </c>
      <c r="F15" s="29" t="n">
        <v>1321189</v>
      </c>
      <c r="G15" s="29" t="n">
        <v>1321189</v>
      </c>
      <c r="H15" s="29" t="n">
        <v>1321189</v>
      </c>
      <c r="I15" s="29" t="n">
        <v>0</v>
      </c>
      <c r="J15" s="29" t="n">
        <v>0</v>
      </c>
      <c r="K15" s="29" t="n">
        <v>0</v>
      </c>
      <c r="L15" s="29" t="n">
        <v>0</v>
      </c>
      <c r="M15" s="29" t="n">
        <v>0</v>
      </c>
    </row>
    <row r="16">
      <c r="A16" s="21" t="inlineStr">
        <is>
          <t>Inventory</t>
        </is>
      </c>
      <c r="B16" s="29" t="n">
        <v>26965</v>
      </c>
      <c r="C16" s="29" t="n">
        <v>73942</v>
      </c>
      <c r="D16" s="29" t="n">
        <v>110975</v>
      </c>
      <c r="E16" s="29" t="n">
        <v>23595</v>
      </c>
      <c r="F16" s="29" t="n">
        <v>11537</v>
      </c>
      <c r="G16" s="29" t="n">
        <v>11772</v>
      </c>
      <c r="H16" s="29" t="n">
        <v>27737</v>
      </c>
      <c r="I16" s="29" t="n">
        <v>25694</v>
      </c>
      <c r="J16" s="29" t="n">
        <v>38763</v>
      </c>
      <c r="K16" s="29" t="n">
        <v>46338</v>
      </c>
      <c r="L16" s="29" t="n">
        <v>0</v>
      </c>
      <c r="M16" s="29" t="n">
        <v>0</v>
      </c>
    </row>
    <row r="17">
      <c r="A17" s="21" t="inlineStr">
        <is>
          <t>Prepaid items and other assets</t>
        </is>
      </c>
      <c r="B17" s="29" t="n">
        <v>31361</v>
      </c>
      <c r="C17" s="29" t="n">
        <v>54300</v>
      </c>
      <c r="D17" s="29" t="n">
        <v>59378</v>
      </c>
      <c r="E17" s="29" t="n">
        <v>97381</v>
      </c>
      <c r="F17" s="29" t="n">
        <v>0</v>
      </c>
      <c r="G17" s="29" t="n">
        <v>0</v>
      </c>
      <c r="H17" s="29" t="n">
        <v>3279</v>
      </c>
      <c r="I17" s="29" t="n">
        <v>0</v>
      </c>
      <c r="J17" s="29" t="n">
        <v>161576</v>
      </c>
      <c r="K17" s="29" t="n">
        <v>62527</v>
      </c>
      <c r="L17" s="29" t="n">
        <v>138615</v>
      </c>
      <c r="M17" s="29" t="n">
        <v>187240</v>
      </c>
    </row>
    <row r="18">
      <c r="A18" s="12" t="inlineStr">
        <is>
          <t>Total assets</t>
        </is>
      </c>
      <c r="B18" s="24">
        <f>SUM(B8:B17)</f>
        <v/>
      </c>
      <c r="C18" s="24">
        <f>SUM(C8:C17)</f>
        <v/>
      </c>
      <c r="D18" s="24">
        <f>SUM(D8:D17)</f>
        <v/>
      </c>
      <c r="E18" s="24">
        <f>SUM(E8:E17)</f>
        <v/>
      </c>
      <c r="F18" s="24">
        <f>SUM(F8:F17)</f>
        <v/>
      </c>
      <c r="G18" s="24">
        <f>SUM(G8:G17)</f>
        <v/>
      </c>
      <c r="H18" s="24">
        <f>SUM(H8:H17)</f>
        <v/>
      </c>
      <c r="I18" s="24">
        <f>SUM(I8:I17)</f>
        <v/>
      </c>
      <c r="J18" s="24">
        <f>SUM(J8:J17)</f>
        <v/>
      </c>
      <c r="K18" s="24">
        <f>SUM(K8:K17)</f>
        <v/>
      </c>
      <c r="L18" s="24">
        <f>SUM(L8:L17)</f>
        <v/>
      </c>
      <c r="M18" s="24">
        <f>SUM(M8:M17)</f>
        <v/>
      </c>
    </row>
    <row r="19">
      <c r="A19" s="2" t="n"/>
      <c r="B19" s="2" t="n"/>
      <c r="C19" s="2" t="n"/>
      <c r="D19" s="2" t="n"/>
      <c r="E19" s="2" t="n"/>
      <c r="F19" s="2" t="n"/>
      <c r="G19" s="2" t="n"/>
      <c r="H19" s="2" t="n"/>
      <c r="I19" s="2" t="n"/>
      <c r="J19" s="2" t="n"/>
      <c r="K19" s="2" t="n"/>
      <c r="L19" s="2" t="n"/>
      <c r="M19" s="2" t="n"/>
    </row>
    <row r="20">
      <c r="A20" s="19" t="inlineStr">
        <is>
          <t>LIABILITIES</t>
        </is>
      </c>
      <c r="B20" s="20" t="n"/>
      <c r="C20" s="20" t="n"/>
      <c r="D20" s="20" t="n"/>
      <c r="E20" s="20" t="n"/>
      <c r="F20" s="20" t="n"/>
      <c r="G20" s="20" t="n"/>
      <c r="H20" s="20" t="n"/>
      <c r="I20" s="20" t="n"/>
      <c r="J20" s="20" t="n"/>
      <c r="K20" s="20" t="n"/>
      <c r="L20" s="20" t="n"/>
      <c r="M20" s="20" t="n"/>
    </row>
    <row r="21">
      <c r="A21" s="21" t="inlineStr">
        <is>
          <t>Accounts payable</t>
        </is>
      </c>
      <c r="B21" s="29" t="n">
        <v>596507</v>
      </c>
      <c r="C21" s="29" t="n">
        <v>732767</v>
      </c>
      <c r="D21" s="29" t="n">
        <v>883120</v>
      </c>
      <c r="E21" s="29" t="n">
        <v>524897</v>
      </c>
      <c r="F21" s="29" t="n">
        <v>346261</v>
      </c>
      <c r="G21" s="29" t="n">
        <v>888579</v>
      </c>
      <c r="H21" s="29" t="n">
        <v>844519</v>
      </c>
      <c r="I21" s="29" t="n">
        <v>806511</v>
      </c>
      <c r="J21" s="29" t="n">
        <v>1248347</v>
      </c>
      <c r="K21" s="29" t="n">
        <v>899927</v>
      </c>
      <c r="L21" s="29" t="n">
        <v>745552</v>
      </c>
      <c r="M21" s="29" t="n">
        <v>1424412</v>
      </c>
    </row>
    <row r="22">
      <c r="A22" s="21" t="inlineStr">
        <is>
          <t>Accrued liabilities</t>
        </is>
      </c>
      <c r="B22" s="29" t="n">
        <v>34074</v>
      </c>
      <c r="C22" s="29" t="n">
        <v>47553</v>
      </c>
      <c r="D22" s="29" t="n">
        <v>61268</v>
      </c>
      <c r="E22" s="29" t="n">
        <v>1081986</v>
      </c>
      <c r="F22" s="29" t="n">
        <v>1102088</v>
      </c>
      <c r="G22" s="29" t="n">
        <v>1231944</v>
      </c>
      <c r="H22" s="29" t="n">
        <v>1551848</v>
      </c>
      <c r="I22" s="29" t="n">
        <v>398547</v>
      </c>
      <c r="J22" s="29" t="n">
        <v>1589666</v>
      </c>
      <c r="K22" s="29" t="n">
        <v>970665</v>
      </c>
      <c r="L22" s="29" t="n">
        <v>1390950</v>
      </c>
      <c r="M22" s="29" t="n">
        <v>1063940</v>
      </c>
    </row>
    <row r="23">
      <c r="A23" s="21" t="inlineStr">
        <is>
          <t>Due to other funds</t>
        </is>
      </c>
      <c r="B23" s="29" t="n">
        <v>250000</v>
      </c>
      <c r="C23" s="29" t="n">
        <v>849386</v>
      </c>
      <c r="D23" s="29" t="n">
        <v>0</v>
      </c>
      <c r="E23" s="29" t="n">
        <v>0</v>
      </c>
      <c r="F23" s="29" t="n">
        <v>0</v>
      </c>
      <c r="G23" s="29" t="n">
        <v>0</v>
      </c>
      <c r="H23" s="29" t="n">
        <v>0</v>
      </c>
      <c r="I23" s="29" t="n">
        <v>0</v>
      </c>
      <c r="J23" s="29" t="n">
        <v>0</v>
      </c>
      <c r="K23" s="29" t="n">
        <v>0</v>
      </c>
      <c r="L23" s="29" t="n">
        <v>0</v>
      </c>
      <c r="M23" s="29" t="n">
        <v>0</v>
      </c>
    </row>
    <row r="24">
      <c r="A24" s="21" t="inlineStr">
        <is>
          <t>Deposits payable</t>
        </is>
      </c>
      <c r="B24" s="29" t="n">
        <v>272842</v>
      </c>
      <c r="C24" s="29" t="n">
        <v>296624</v>
      </c>
      <c r="D24" s="29" t="n">
        <v>500482</v>
      </c>
      <c r="E24" s="29" t="n">
        <v>515730</v>
      </c>
      <c r="F24" s="29" t="n">
        <v>645593</v>
      </c>
      <c r="G24" s="29" t="n">
        <v>804162</v>
      </c>
      <c r="H24" s="29" t="n">
        <v>1605016</v>
      </c>
      <c r="I24" s="29" t="n">
        <v>1759634</v>
      </c>
      <c r="J24" s="29" t="n">
        <v>2006664</v>
      </c>
      <c r="K24" s="29" t="n">
        <v>2222396</v>
      </c>
      <c r="L24" s="29" t="n">
        <v>2465295</v>
      </c>
      <c r="M24" s="29" t="n">
        <v>2394927</v>
      </c>
    </row>
    <row r="25">
      <c r="A25" s="21" t="inlineStr">
        <is>
          <t>Unearned revenue</t>
        </is>
      </c>
      <c r="B25" s="29" t="n">
        <v>30578</v>
      </c>
      <c r="C25" s="29" t="n">
        <v>33731</v>
      </c>
      <c r="D25" s="29" t="n">
        <v>47682</v>
      </c>
      <c r="E25" s="29" t="n">
        <v>47389</v>
      </c>
      <c r="F25" s="29" t="n">
        <v>65497</v>
      </c>
      <c r="G25" s="29" t="n">
        <v>80381</v>
      </c>
      <c r="H25" s="29" t="n">
        <v>82890</v>
      </c>
      <c r="I25" s="29" t="n">
        <v>83463</v>
      </c>
      <c r="J25" s="29" t="n">
        <v>90782</v>
      </c>
      <c r="K25" s="29" t="n">
        <v>1342515</v>
      </c>
      <c r="L25" s="29" t="n">
        <v>1251292</v>
      </c>
      <c r="M25" s="29" t="n">
        <v>729770</v>
      </c>
    </row>
    <row r="26">
      <c r="A26" s="21" t="inlineStr">
        <is>
          <t>Note payable (short-term TRAN)</t>
        </is>
      </c>
      <c r="B26" s="29" t="n">
        <v>0</v>
      </c>
      <c r="C26" s="29" t="n">
        <v>0</v>
      </c>
      <c r="D26" s="29" t="n">
        <v>5000000</v>
      </c>
      <c r="E26" s="29" t="n">
        <v>5000000</v>
      </c>
      <c r="F26" s="29" t="n">
        <v>6000000</v>
      </c>
      <c r="G26" s="29" t="n">
        <v>6000000</v>
      </c>
      <c r="H26" s="29" t="n">
        <v>9000000</v>
      </c>
      <c r="I26" s="29" t="n">
        <v>8659545</v>
      </c>
      <c r="J26" s="29" t="n">
        <v>6060892</v>
      </c>
      <c r="K26" s="29" t="n">
        <v>0</v>
      </c>
      <c r="L26" s="29" t="n">
        <v>0</v>
      </c>
      <c r="M26" s="29" t="n">
        <v>0</v>
      </c>
    </row>
    <row r="27">
      <c r="A27" s="12" t="inlineStr">
        <is>
          <t>Total liabilities</t>
        </is>
      </c>
      <c r="B27" s="24">
        <f>SUM(B21:B26)</f>
        <v/>
      </c>
      <c r="C27" s="24">
        <f>SUM(C21:C26)</f>
        <v/>
      </c>
      <c r="D27" s="24">
        <f>SUM(D21:D26)</f>
        <v/>
      </c>
      <c r="E27" s="24">
        <f>SUM(E21:E26)</f>
        <v/>
      </c>
      <c r="F27" s="24">
        <f>SUM(F21:F26)</f>
        <v/>
      </c>
      <c r="G27" s="24">
        <f>SUM(G21:G26)</f>
        <v/>
      </c>
      <c r="H27" s="24">
        <f>SUM(H21:H26)</f>
        <v/>
      </c>
      <c r="I27" s="24">
        <f>SUM(I21:I26)</f>
        <v/>
      </c>
      <c r="J27" s="24">
        <f>SUM(J21:J26)</f>
        <v/>
      </c>
      <c r="K27" s="24">
        <f>SUM(K21:K26)</f>
        <v/>
      </c>
      <c r="L27" s="24">
        <f>SUM(L21:L26)</f>
        <v/>
      </c>
      <c r="M27" s="24">
        <f>SUM(M21:M26)</f>
        <v/>
      </c>
    </row>
    <row r="28">
      <c r="A28" s="2" t="n"/>
      <c r="B28" s="2" t="n"/>
      <c r="C28" s="2" t="n"/>
      <c r="D28" s="2" t="n"/>
      <c r="E28" s="2" t="n"/>
      <c r="F28" s="2" t="n"/>
      <c r="G28" s="2" t="n"/>
      <c r="H28" s="2" t="n"/>
      <c r="I28" s="2" t="n"/>
      <c r="J28" s="2" t="n"/>
      <c r="K28" s="2" t="n"/>
      <c r="L28" s="2" t="n"/>
      <c r="M28" s="2" t="n"/>
    </row>
    <row r="29">
      <c r="A29" s="19" t="inlineStr">
        <is>
          <t>DEFERRED INFLOWS OF RESOURCES</t>
        </is>
      </c>
      <c r="B29" s="20" t="n"/>
      <c r="C29" s="20" t="n"/>
      <c r="D29" s="20" t="n"/>
      <c r="E29" s="20" t="n"/>
      <c r="F29" s="20" t="n"/>
      <c r="G29" s="20" t="n"/>
      <c r="H29" s="20" t="n"/>
      <c r="I29" s="20" t="n"/>
      <c r="J29" s="20" t="n"/>
      <c r="K29" s="20" t="n"/>
      <c r="L29" s="20" t="n"/>
      <c r="M29" s="20" t="n"/>
    </row>
    <row r="30">
      <c r="A30" s="21" t="inlineStr">
        <is>
          <t>Unavailable revenue</t>
        </is>
      </c>
      <c r="B30" s="29" t="n">
        <v>0</v>
      </c>
      <c r="C30" s="29" t="n">
        <v>0</v>
      </c>
      <c r="D30" s="29" t="n">
        <v>0</v>
      </c>
      <c r="E30" s="29" t="n">
        <v>147028</v>
      </c>
      <c r="F30" s="29" t="n">
        <v>666771</v>
      </c>
      <c r="G30" s="29" t="n">
        <v>116319</v>
      </c>
      <c r="H30" s="29" t="n">
        <v>0</v>
      </c>
      <c r="I30" s="29" t="n">
        <v>0</v>
      </c>
      <c r="J30" s="29" t="n">
        <v>0</v>
      </c>
      <c r="K30" s="29" t="n">
        <v>0</v>
      </c>
      <c r="L30" s="29" t="n">
        <v>296604</v>
      </c>
      <c r="M30" s="29" t="n">
        <v>241306</v>
      </c>
    </row>
    <row r="31">
      <c r="A31" s="12" t="inlineStr">
        <is>
          <t>Total deferred inflows</t>
        </is>
      </c>
      <c r="B31" s="24">
        <f>SUM(B30:B30)</f>
        <v/>
      </c>
      <c r="C31" s="24">
        <f>SUM(C30:C30)</f>
        <v/>
      </c>
      <c r="D31" s="24">
        <f>SUM(D30:D30)</f>
        <v/>
      </c>
      <c r="E31" s="24">
        <f>SUM(E30:E30)</f>
        <v/>
      </c>
      <c r="F31" s="24">
        <f>SUM(F30:F30)</f>
        <v/>
      </c>
      <c r="G31" s="24">
        <f>SUM(G30:G30)</f>
        <v/>
      </c>
      <c r="H31" s="24">
        <f>SUM(H30:H30)</f>
        <v/>
      </c>
      <c r="I31" s="24">
        <f>SUM(I30:I30)</f>
        <v/>
      </c>
      <c r="J31" s="24">
        <f>SUM(J30:J30)</f>
        <v/>
      </c>
      <c r="K31" s="24">
        <f>SUM(K30:K30)</f>
        <v/>
      </c>
      <c r="L31" s="24">
        <f>SUM(L30:L30)</f>
        <v/>
      </c>
      <c r="M31" s="24">
        <f>SUM(M30:M30)</f>
        <v/>
      </c>
    </row>
    <row r="32">
      <c r="A32" s="2" t="n"/>
      <c r="B32" s="2" t="n"/>
      <c r="C32" s="2" t="n"/>
      <c r="D32" s="2" t="n"/>
      <c r="E32" s="2" t="n"/>
      <c r="F32" s="2" t="n"/>
      <c r="G32" s="2" t="n"/>
      <c r="H32" s="2" t="n"/>
      <c r="I32" s="2" t="n"/>
      <c r="J32" s="2" t="n"/>
      <c r="K32" s="2" t="n"/>
      <c r="L32" s="2" t="n"/>
      <c r="M32" s="2" t="n"/>
    </row>
    <row r="33">
      <c r="A33" s="19" t="inlineStr">
        <is>
          <t>FUND BALANCE</t>
        </is>
      </c>
      <c r="B33" s="20" t="n"/>
      <c r="C33" s="20" t="n"/>
      <c r="D33" s="20" t="n"/>
      <c r="E33" s="20" t="n"/>
      <c r="F33" s="20" t="n"/>
      <c r="G33" s="20" t="n"/>
      <c r="H33" s="20" t="n"/>
      <c r="I33" s="20" t="n"/>
      <c r="J33" s="20" t="n"/>
      <c r="K33" s="20" t="n"/>
      <c r="L33" s="20" t="n"/>
      <c r="M33" s="20" t="n"/>
    </row>
    <row r="34">
      <c r="A34" s="21" t="inlineStr">
        <is>
          <t>Nonspendable</t>
        </is>
      </c>
      <c r="B34" s="29" t="n">
        <v>58326</v>
      </c>
      <c r="C34" s="29" t="n">
        <v>128242</v>
      </c>
      <c r="D34" s="29" t="n">
        <v>170353</v>
      </c>
      <c r="E34" s="29" t="n">
        <v>994742</v>
      </c>
      <c r="F34" s="29" t="n">
        <v>2321077</v>
      </c>
      <c r="G34" s="29" t="n">
        <v>1650928</v>
      </c>
      <c r="H34" s="29" t="n">
        <v>1667511</v>
      </c>
      <c r="I34" s="29" t="n">
        <v>25694</v>
      </c>
      <c r="J34" s="29" t="n">
        <v>200339</v>
      </c>
      <c r="K34" s="29" t="n">
        <v>108865</v>
      </c>
      <c r="L34" s="29" t="n">
        <v>126751</v>
      </c>
      <c r="M34" s="29" t="n">
        <v>175376</v>
      </c>
    </row>
    <row r="35">
      <c r="A35" s="21" t="inlineStr">
        <is>
          <t>Restricted</t>
        </is>
      </c>
      <c r="B35" s="29" t="n">
        <v>150445</v>
      </c>
      <c r="C35" s="29" t="n">
        <v>10170</v>
      </c>
      <c r="D35" s="29" t="n">
        <v>10187</v>
      </c>
      <c r="E35" s="29" t="n">
        <v>10205</v>
      </c>
      <c r="F35" s="29" t="n">
        <v>0</v>
      </c>
      <c r="G35" s="29" t="n">
        <v>0</v>
      </c>
      <c r="H35" s="29" t="n">
        <v>0</v>
      </c>
      <c r="I35" s="29" t="n">
        <v>0</v>
      </c>
      <c r="J35" s="29" t="n">
        <v>0</v>
      </c>
      <c r="K35" s="29" t="n">
        <v>0</v>
      </c>
      <c r="L35" s="29" t="n">
        <v>1372890</v>
      </c>
      <c r="M35" s="29" t="n">
        <v>2960245</v>
      </c>
    </row>
    <row r="36">
      <c r="A36" s="21" t="inlineStr">
        <is>
          <t>Committed</t>
        </is>
      </c>
      <c r="B36" s="29" t="n">
        <v>0</v>
      </c>
      <c r="C36" s="29" t="n">
        <v>0</v>
      </c>
      <c r="D36" s="29" t="n">
        <v>0</v>
      </c>
      <c r="E36" s="29" t="n">
        <v>0</v>
      </c>
      <c r="F36" s="29" t="n">
        <v>0</v>
      </c>
      <c r="G36" s="29" t="n">
        <v>0</v>
      </c>
      <c r="H36" s="29" t="n">
        <v>0</v>
      </c>
      <c r="I36" s="29" t="n">
        <v>0</v>
      </c>
      <c r="J36" s="29" t="n">
        <v>0</v>
      </c>
      <c r="K36" s="29" t="n">
        <v>0</v>
      </c>
      <c r="L36" s="29" t="n">
        <v>0</v>
      </c>
      <c r="M36" s="29" t="n">
        <v>0</v>
      </c>
    </row>
    <row r="37">
      <c r="A37" s="21" t="inlineStr">
        <is>
          <t>Assigned</t>
        </is>
      </c>
      <c r="B37" s="29" t="n">
        <v>53108</v>
      </c>
      <c r="C37" s="29" t="n">
        <v>0</v>
      </c>
      <c r="D37" s="29" t="n">
        <v>0</v>
      </c>
      <c r="E37" s="29" t="n">
        <v>0</v>
      </c>
      <c r="F37" s="29" t="n">
        <v>0</v>
      </c>
      <c r="G37" s="29" t="n">
        <v>0</v>
      </c>
      <c r="H37" s="29" t="n">
        <v>0</v>
      </c>
      <c r="I37" s="29" t="n">
        <v>0</v>
      </c>
      <c r="J37" s="29" t="n">
        <v>0</v>
      </c>
      <c r="K37" s="29" t="n">
        <v>0</v>
      </c>
      <c r="L37" s="29" t="n">
        <v>0</v>
      </c>
      <c r="M37" s="29" t="n">
        <v>0</v>
      </c>
    </row>
    <row r="38">
      <c r="A38" s="21" t="inlineStr">
        <is>
          <t>Unassigned - Emergency Disaster Relief reserve</t>
        </is>
      </c>
      <c r="B38" s="29" t="n">
        <v>0</v>
      </c>
      <c r="C38" s="29" t="n">
        <v>0</v>
      </c>
      <c r="D38" s="29" t="n">
        <v>0</v>
      </c>
      <c r="E38" s="29" t="n">
        <v>0</v>
      </c>
      <c r="F38" s="29" t="n">
        <v>0</v>
      </c>
      <c r="G38" s="29" t="n">
        <v>0</v>
      </c>
      <c r="H38" s="29" t="n">
        <v>0</v>
      </c>
      <c r="I38" s="29" t="n">
        <v>0</v>
      </c>
      <c r="J38" s="29" t="n">
        <v>0</v>
      </c>
      <c r="K38" s="29" t="n">
        <v>0</v>
      </c>
      <c r="L38" s="29" t="n">
        <v>9000000</v>
      </c>
      <c r="M38" s="29" t="n">
        <v>7500000</v>
      </c>
    </row>
    <row r="39">
      <c r="A39" s="21" t="inlineStr">
        <is>
          <t>Unassigned - remaining</t>
        </is>
      </c>
      <c r="B39" s="29" t="n">
        <v>1008587</v>
      </c>
      <c r="C39" s="29" t="n">
        <v>1323100</v>
      </c>
      <c r="D39" s="29" t="n">
        <v>1713302</v>
      </c>
      <c r="E39" s="29" t="n">
        <v>-186227</v>
      </c>
      <c r="F39" s="29" t="n">
        <v>-2233507</v>
      </c>
      <c r="G39" s="29" t="n">
        <v>-1707620</v>
      </c>
      <c r="H39" s="29" t="n">
        <v>-1777532</v>
      </c>
      <c r="I39" s="29" t="n">
        <v>7117568</v>
      </c>
      <c r="J39" s="29" t="n">
        <v>16423835</v>
      </c>
      <c r="K39" s="29" t="n">
        <v>23034216</v>
      </c>
      <c r="L39" s="29" t="n">
        <v>12393697</v>
      </c>
      <c r="M39" s="29" t="n">
        <v>13614887</v>
      </c>
    </row>
    <row r="40">
      <c r="A40" s="12" t="inlineStr">
        <is>
          <t>Total fund balance</t>
        </is>
      </c>
      <c r="B40" s="24">
        <f>SUM(B34:B39)</f>
        <v/>
      </c>
      <c r="C40" s="24">
        <f>SUM(C34:C39)</f>
        <v/>
      </c>
      <c r="D40" s="24">
        <f>SUM(D34:D39)</f>
        <v/>
      </c>
      <c r="E40" s="24">
        <f>SUM(E34:E39)</f>
        <v/>
      </c>
      <c r="F40" s="24">
        <f>SUM(F34:F39)</f>
        <v/>
      </c>
      <c r="G40" s="24">
        <f>SUM(G34:G39)</f>
        <v/>
      </c>
      <c r="H40" s="24">
        <f>SUM(H34:H39)</f>
        <v/>
      </c>
      <c r="I40" s="24">
        <f>SUM(I34:I39)</f>
        <v/>
      </c>
      <c r="J40" s="24">
        <f>SUM(J34:J39)</f>
        <v/>
      </c>
      <c r="K40" s="24">
        <f>SUM(K34:K39)</f>
        <v/>
      </c>
      <c r="L40" s="24">
        <f>SUM(L34:L39)</f>
        <v/>
      </c>
      <c r="M40" s="24">
        <f>SUM(M34:M39)</f>
        <v/>
      </c>
    </row>
    <row r="41">
      <c r="A41" s="2" t="n"/>
      <c r="B41" s="2" t="n"/>
      <c r="C41" s="2" t="n"/>
      <c r="D41" s="2" t="n"/>
      <c r="E41" s="2" t="n"/>
      <c r="F41" s="2" t="n"/>
      <c r="G41" s="2" t="n"/>
      <c r="H41" s="2" t="n"/>
      <c r="I41" s="2" t="n"/>
      <c r="J41" s="2" t="n"/>
      <c r="K41" s="2" t="n"/>
      <c r="L41" s="2" t="n"/>
      <c r="M41" s="2" t="n"/>
    </row>
    <row r="42">
      <c r="A42" s="12" t="inlineStr">
        <is>
          <t>Total liabilities, deferred inflows and fund balance</t>
        </is>
      </c>
      <c r="B42" s="31">
        <f>B27+B31+B40</f>
        <v/>
      </c>
      <c r="C42" s="31">
        <f>C27+C31+C40</f>
        <v/>
      </c>
      <c r="D42" s="31">
        <f>D27+D31+D40</f>
        <v/>
      </c>
      <c r="E42" s="31">
        <f>E27+E31+E40</f>
        <v/>
      </c>
      <c r="F42" s="31">
        <f>F27+F31+F40</f>
        <v/>
      </c>
      <c r="G42" s="31">
        <f>G27+G31+G40</f>
        <v/>
      </c>
      <c r="H42" s="31">
        <f>H27+H31+H40</f>
        <v/>
      </c>
      <c r="I42" s="31">
        <f>I27+I31+I40</f>
        <v/>
      </c>
      <c r="J42" s="31">
        <f>J27+J31+J40</f>
        <v/>
      </c>
      <c r="K42" s="31">
        <f>K27+K31+K40</f>
        <v/>
      </c>
      <c r="L42" s="31">
        <f>L27+L31+L40</f>
        <v/>
      </c>
      <c r="M42" s="31">
        <f>M27+M31+M40</f>
        <v/>
      </c>
    </row>
    <row r="43">
      <c r="A43" s="2" t="n"/>
      <c r="B43" s="2" t="n"/>
      <c r="C43" s="2" t="n"/>
      <c r="D43" s="2" t="n"/>
      <c r="E43" s="2" t="n"/>
      <c r="F43" s="2" t="n"/>
      <c r="G43" s="2" t="n"/>
      <c r="H43" s="2" t="n"/>
      <c r="I43" s="2" t="n"/>
      <c r="J43" s="2" t="n"/>
      <c r="K43" s="2" t="n"/>
      <c r="L43" s="2" t="n"/>
      <c r="M43" s="2" t="n"/>
    </row>
    <row r="44">
      <c r="A44" s="13" t="inlineStr">
        <is>
          <t>Memo: working capital (assets less liabilities, excl. advances)</t>
        </is>
      </c>
      <c r="B44" s="22">
        <f>B18-B14-B15-B27</f>
        <v/>
      </c>
      <c r="C44" s="22">
        <f>C18-C14-C15-C27</f>
        <v/>
      </c>
      <c r="D44" s="22">
        <f>D18-D14-D15-D27</f>
        <v/>
      </c>
      <c r="E44" s="22">
        <f>E18-E14-E15-E27</f>
        <v/>
      </c>
      <c r="F44" s="22">
        <f>F18-F14-F15-F27</f>
        <v/>
      </c>
      <c r="G44" s="22">
        <f>G18-G14-G15-G27</f>
        <v/>
      </c>
      <c r="H44" s="22">
        <f>H18-H14-H15-H27</f>
        <v/>
      </c>
      <c r="I44" s="22">
        <f>I18-I14-I15-I27</f>
        <v/>
      </c>
      <c r="J44" s="22">
        <f>J18-J14-J15-J27</f>
        <v/>
      </c>
      <c r="K44" s="22">
        <f>K18-K14-K15-K27</f>
        <v/>
      </c>
      <c r="L44" s="22">
        <f>L18-L14-L15-L27</f>
        <v/>
      </c>
      <c r="M44" s="22">
        <f>M18-M14-M15-M27</f>
        <v/>
      </c>
    </row>
    <row r="45">
      <c r="A45" s="13" t="inlineStr">
        <is>
          <t>Memo: unassigned fund balance incl. EDRF</t>
        </is>
      </c>
      <c r="B45" s="22">
        <f>B38+B39</f>
        <v/>
      </c>
      <c r="C45" s="22">
        <f>C38+C39</f>
        <v/>
      </c>
      <c r="D45" s="22">
        <f>D38+D39</f>
        <v/>
      </c>
      <c r="E45" s="22">
        <f>E38+E39</f>
        <v/>
      </c>
      <c r="F45" s="22">
        <f>F38+F39</f>
        <v/>
      </c>
      <c r="G45" s="22">
        <f>G38+G39</f>
        <v/>
      </c>
      <c r="H45" s="22">
        <f>H38+H39</f>
        <v/>
      </c>
      <c r="I45" s="22">
        <f>I38+I39</f>
        <v/>
      </c>
      <c r="J45" s="22">
        <f>J38+J39</f>
        <v/>
      </c>
      <c r="K45" s="22">
        <f>K38+K39</f>
        <v/>
      </c>
      <c r="L45" s="22">
        <f>L38+L39</f>
        <v/>
      </c>
      <c r="M45" s="22">
        <f>M38+M39</f>
        <v/>
      </c>
    </row>
    <row r="46">
      <c r="A46" s="13" t="inlineStr">
        <is>
          <t>Memo: unassigned fund balance as % of expenditures</t>
        </is>
      </c>
      <c r="B46" s="33">
        <f>IFERROR(B45/GF_Operating_Statement!B34,0)</f>
        <v/>
      </c>
      <c r="C46" s="33">
        <f>IFERROR(C45/GF_Operating_Statement!C34,0)</f>
        <v/>
      </c>
      <c r="D46" s="33">
        <f>IFERROR(D45/GF_Operating_Statement!D34,0)</f>
        <v/>
      </c>
      <c r="E46" s="33">
        <f>IFERROR(E45/GF_Operating_Statement!E34,0)</f>
        <v/>
      </c>
      <c r="F46" s="33">
        <f>IFERROR(F45/GF_Operating_Statement!F34,0)</f>
        <v/>
      </c>
      <c r="G46" s="33">
        <f>IFERROR(G45/GF_Operating_Statement!G34,0)</f>
        <v/>
      </c>
      <c r="H46" s="33">
        <f>IFERROR(H45/GF_Operating_Statement!H34,0)</f>
        <v/>
      </c>
      <c r="I46" s="33">
        <f>IFERROR(I45/GF_Operating_Statement!I34,0)</f>
        <v/>
      </c>
      <c r="J46" s="33">
        <f>IFERROR(J45/GF_Operating_Statement!J34,0)</f>
        <v/>
      </c>
      <c r="K46" s="33">
        <f>IFERROR(K45/GF_Operating_Statement!K34,0)</f>
        <v/>
      </c>
      <c r="L46" s="33">
        <f>IFERROR(L45/GF_Operating_Statement!L34,0)</f>
        <v/>
      </c>
      <c r="M46" s="33">
        <f>IFERROR(M45/GF_Operating_Statement!M34,0)</f>
        <v/>
      </c>
    </row>
    <row r="47">
      <c r="A47" s="2" t="n"/>
      <c r="B47" s="2" t="n"/>
      <c r="C47" s="2" t="n"/>
      <c r="D47" s="2" t="n"/>
      <c r="E47" s="2" t="n"/>
      <c r="F47" s="2" t="n"/>
      <c r="G47" s="2" t="n"/>
      <c r="H47" s="2" t="n"/>
      <c r="I47" s="2" t="n"/>
      <c r="J47" s="2" t="n"/>
      <c r="K47" s="2" t="n"/>
      <c r="L47" s="2" t="n"/>
      <c r="M47" s="2" t="n"/>
    </row>
    <row r="48">
      <c r="A48" s="13" t="inlineStr">
        <is>
          <t>Check: total assets per audited balance sheet</t>
        </is>
      </c>
      <c r="B48" s="29" t="n">
        <v>2454467</v>
      </c>
      <c r="C48" s="29" t="n">
        <v>3421573</v>
      </c>
      <c r="D48" s="29" t="n">
        <v>8386394</v>
      </c>
      <c r="E48" s="29" t="n">
        <v>8135750</v>
      </c>
      <c r="F48" s="29" t="n">
        <v>8913780</v>
      </c>
      <c r="G48" s="29" t="n">
        <v>9064693</v>
      </c>
      <c r="H48" s="29" t="n">
        <v>12974252</v>
      </c>
      <c r="I48" s="29" t="n">
        <v>18850962</v>
      </c>
      <c r="J48" s="29" t="n">
        <v>27620525</v>
      </c>
      <c r="K48" s="29" t="n">
        <v>28578584</v>
      </c>
      <c r="L48" s="29" t="n">
        <v>29043031</v>
      </c>
      <c r="M48" s="29" t="n">
        <v>30104863</v>
      </c>
    </row>
    <row r="49">
      <c r="A49" s="13" t="inlineStr">
        <is>
          <t>Check: assets - reported (should be 0)</t>
        </is>
      </c>
      <c r="B49" s="35">
        <f>B18-B48</f>
        <v/>
      </c>
      <c r="C49" s="35">
        <f>C18-C48</f>
        <v/>
      </c>
      <c r="D49" s="35">
        <f>D18-D48</f>
        <v/>
      </c>
      <c r="E49" s="35">
        <f>E18-E48</f>
        <v/>
      </c>
      <c r="F49" s="35">
        <f>F18-F48</f>
        <v/>
      </c>
      <c r="G49" s="35">
        <f>G18-G48</f>
        <v/>
      </c>
      <c r="H49" s="35">
        <f>H18-H48</f>
        <v/>
      </c>
      <c r="I49" s="35">
        <f>I18-I48</f>
        <v/>
      </c>
      <c r="J49" s="35">
        <f>J18-J48</f>
        <v/>
      </c>
      <c r="K49" s="35">
        <f>K18-K48</f>
        <v/>
      </c>
      <c r="L49" s="35">
        <f>L18-L48</f>
        <v/>
      </c>
      <c r="M49" s="35">
        <f>M18-M48</f>
        <v/>
      </c>
    </row>
    <row r="50">
      <c r="A50" s="13" t="inlineStr">
        <is>
          <t>Check: assets - (liabilities + deferred + fund balance)</t>
        </is>
      </c>
      <c r="B50" s="35">
        <f>B18-B42</f>
        <v/>
      </c>
      <c r="C50" s="35">
        <f>C18-C42</f>
        <v/>
      </c>
      <c r="D50" s="35">
        <f>D18-D42</f>
        <v/>
      </c>
      <c r="E50" s="35">
        <f>E18-E42</f>
        <v/>
      </c>
      <c r="F50" s="35">
        <f>F18-F42</f>
        <v/>
      </c>
      <c r="G50" s="35">
        <f>G18-G42</f>
        <v/>
      </c>
      <c r="H50" s="35">
        <f>H18-H42</f>
        <v/>
      </c>
      <c r="I50" s="35">
        <f>I18-I42</f>
        <v/>
      </c>
      <c r="J50" s="35">
        <f>J18-J42</f>
        <v/>
      </c>
      <c r="K50" s="35">
        <f>K18-K42</f>
        <v/>
      </c>
      <c r="L50" s="35">
        <f>L18-L42</f>
        <v/>
      </c>
      <c r="M50" s="35">
        <f>M18-M42</f>
        <v/>
      </c>
    </row>
    <row r="51">
      <c r="A51" s="13" t="inlineStr">
        <is>
          <t>Check: fund balance vs. GF_Operating_Statement ending</t>
        </is>
      </c>
      <c r="B51" s="35">
        <f>B40-GF_Operating_Statement!B53</f>
        <v/>
      </c>
      <c r="C51" s="35">
        <f>C40-GF_Operating_Statement!C53</f>
        <v/>
      </c>
      <c r="D51" s="35">
        <f>D40-GF_Operating_Statement!D53</f>
        <v/>
      </c>
      <c r="E51" s="35">
        <f>E40-GF_Operating_Statement!E53</f>
        <v/>
      </c>
      <c r="F51" s="35">
        <f>F40-GF_Operating_Statement!F53</f>
        <v/>
      </c>
      <c r="G51" s="35">
        <f>G40-GF_Operating_Statement!G53</f>
        <v/>
      </c>
      <c r="H51" s="35">
        <f>H40-GF_Operating_Statement!H53</f>
        <v/>
      </c>
      <c r="I51" s="35">
        <f>I40-GF_Operating_Statement!I53</f>
        <v/>
      </c>
      <c r="J51" s="35">
        <f>J40-GF_Operating_Statement!J53</f>
        <v/>
      </c>
      <c r="K51" s="35">
        <f>K40-GF_Operating_Statement!K53</f>
        <v/>
      </c>
      <c r="L51" s="35">
        <f>L40-GF_Operating_Statement!L53</f>
        <v/>
      </c>
      <c r="M51" s="35">
        <f>M40-GF_Operating_Statement!M53</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3864"/>
    <outlinePr summaryBelow="1" summaryRight="1"/>
    <pageSetUpPr/>
  </sheetPr>
  <dimension ref="A1:M4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GENERAL FUND ONLY</t>
        </is>
      </c>
      <c r="B1" s="2" t="n"/>
      <c r="C1" s="2" t="n"/>
      <c r="D1" s="2" t="n"/>
      <c r="E1" s="2" t="n"/>
      <c r="F1" s="2" t="n"/>
      <c r="G1" s="2" t="n"/>
      <c r="H1" s="2" t="n"/>
      <c r="I1" s="2" t="n"/>
      <c r="J1" s="2" t="n"/>
      <c r="K1" s="2" t="n"/>
      <c r="L1" s="2" t="n"/>
      <c r="M1" s="2" t="n"/>
    </row>
    <row r="2">
      <c r="A2" s="12" t="inlineStr">
        <is>
          <t>Statement of Cash Flows - DERIVED (indirect method, GASB 9 categories), $</t>
        </is>
      </c>
      <c r="B2" s="2" t="n"/>
      <c r="C2" s="2" t="n"/>
      <c r="D2" s="2" t="n"/>
      <c r="E2" s="2" t="n"/>
      <c r="F2" s="2" t="n"/>
      <c r="G2" s="2" t="n"/>
      <c r="H2" s="2" t="n"/>
      <c r="I2" s="2" t="n"/>
      <c r="J2" s="2" t="n"/>
      <c r="K2" s="2" t="n"/>
      <c r="L2" s="2" t="n"/>
      <c r="M2" s="2" t="n"/>
    </row>
    <row r="3">
      <c r="A3" s="7" t="inlineStr">
        <is>
          <t>Not an audited statement: governmental funds do not report cash flows under GASB. Built from GF_Operating_Statement and year-over-year GF_Balance_Sheet changes. FY2014 omitted (needs the June 30, 2013 balance sheet); FY2026 omitted (no balance sheet yet).</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16" t="inlineStr">
        <is>
          <t>Fiscal year ended June 30</t>
        </is>
      </c>
      <c r="B6" s="17" t="n">
        <v>2014</v>
      </c>
      <c r="C6" s="17" t="n">
        <v>2015</v>
      </c>
      <c r="D6" s="17" t="n">
        <v>2016</v>
      </c>
      <c r="E6" s="17" t="n">
        <v>2017</v>
      </c>
      <c r="F6" s="17" t="n">
        <v>2018</v>
      </c>
      <c r="G6" s="17" t="n">
        <v>2019</v>
      </c>
      <c r="H6" s="17" t="n">
        <v>2020</v>
      </c>
      <c r="I6" s="17" t="n">
        <v>2021</v>
      </c>
      <c r="J6" s="17" t="n">
        <v>2022</v>
      </c>
      <c r="K6" s="17" t="n">
        <v>2023</v>
      </c>
      <c r="L6" s="17" t="n">
        <v>2024</v>
      </c>
      <c r="M6" s="17" t="n">
        <v>2025</v>
      </c>
    </row>
    <row r="7">
      <c r="A7" s="19" t="inlineStr">
        <is>
          <t>CASH FLOWS FROM OPERATING ACTIVITIES</t>
        </is>
      </c>
      <c r="B7" s="20" t="n"/>
      <c r="C7" s="20" t="n"/>
      <c r="D7" s="20" t="n"/>
      <c r="E7" s="20" t="n"/>
      <c r="F7" s="20" t="n"/>
      <c r="G7" s="20" t="n"/>
      <c r="H7" s="20" t="n"/>
      <c r="I7" s="20" t="n"/>
      <c r="J7" s="20" t="n"/>
      <c r="K7" s="20" t="n"/>
      <c r="L7" s="20" t="n"/>
      <c r="M7" s="20" t="n"/>
    </row>
    <row r="8">
      <c r="A8" s="21" t="inlineStr">
        <is>
          <t>Revenues less current (operating) expenditures</t>
        </is>
      </c>
      <c r="B8" s="36" t="inlineStr"/>
      <c r="C8" s="36">
        <f>GF_Operating_Statement!C36+GF_Operating_Statement!C30+GF_Operating_Statement!C32+GF_Operating_Statement!C33</f>
        <v/>
      </c>
      <c r="D8" s="36">
        <f>GF_Operating_Statement!D36+GF_Operating_Statement!D30+GF_Operating_Statement!D32+GF_Operating_Statement!D33</f>
        <v/>
      </c>
      <c r="E8" s="36">
        <f>GF_Operating_Statement!E36+GF_Operating_Statement!E30+GF_Operating_Statement!E32+GF_Operating_Statement!E33</f>
        <v/>
      </c>
      <c r="F8" s="36">
        <f>GF_Operating_Statement!F36+GF_Operating_Statement!F30+GF_Operating_Statement!F32+GF_Operating_Statement!F33</f>
        <v/>
      </c>
      <c r="G8" s="36">
        <f>GF_Operating_Statement!G36+GF_Operating_Statement!G30+GF_Operating_Statement!G32+GF_Operating_Statement!G33</f>
        <v/>
      </c>
      <c r="H8" s="36">
        <f>GF_Operating_Statement!H36+GF_Operating_Statement!H30+GF_Operating_Statement!H32+GF_Operating_Statement!H33</f>
        <v/>
      </c>
      <c r="I8" s="36">
        <f>GF_Operating_Statement!I36+GF_Operating_Statement!I30+GF_Operating_Statement!I32+GF_Operating_Statement!I33</f>
        <v/>
      </c>
      <c r="J8" s="36">
        <f>GF_Operating_Statement!J36+GF_Operating_Statement!J30+GF_Operating_Statement!J32+GF_Operating_Statement!J33</f>
        <v/>
      </c>
      <c r="K8" s="36">
        <f>GF_Operating_Statement!K36+GF_Operating_Statement!K30+GF_Operating_Statement!K32+GF_Operating_Statement!K33</f>
        <v/>
      </c>
      <c r="L8" s="36">
        <f>GF_Operating_Statement!L36+GF_Operating_Statement!L30+GF_Operating_Statement!L32+GF_Operating_Statement!L33</f>
        <v/>
      </c>
      <c r="M8" s="36">
        <f>GF_Operating_Statement!M36+GF_Operating_Statement!M30+GF_Operating_Statement!M32+GF_Operating_Statement!M33</f>
        <v/>
      </c>
    </row>
    <row r="9">
      <c r="A9" s="21" t="inlineStr">
        <is>
          <t>(Increase) decrease in receivables (AR, interest, due from governments)</t>
        </is>
      </c>
      <c r="B9" s="36" t="inlineStr"/>
      <c r="C9" s="36">
        <f>-(GF_Balance_Sheet!C10-GF_Balance_Sheet!B10+GF_Balance_Sheet!C11-GF_Balance_Sheet!B11+GF_Balance_Sheet!C12-GF_Balance_Sheet!B12)</f>
        <v/>
      </c>
      <c r="D9" s="36">
        <f>-(GF_Balance_Sheet!D10-GF_Balance_Sheet!C10+GF_Balance_Sheet!D11-GF_Balance_Sheet!C11+GF_Balance_Sheet!D12-GF_Balance_Sheet!C12)</f>
        <v/>
      </c>
      <c r="E9" s="36">
        <f>-(GF_Balance_Sheet!E10-GF_Balance_Sheet!D10+GF_Balance_Sheet!E11-GF_Balance_Sheet!D11+GF_Balance_Sheet!E12-GF_Balance_Sheet!D12)</f>
        <v/>
      </c>
      <c r="F9" s="36">
        <f>-(GF_Balance_Sheet!F10-GF_Balance_Sheet!E10+GF_Balance_Sheet!F11-GF_Balance_Sheet!E11+GF_Balance_Sheet!F12-GF_Balance_Sheet!E12)</f>
        <v/>
      </c>
      <c r="G9" s="36">
        <f>-(GF_Balance_Sheet!G10-GF_Balance_Sheet!F10+GF_Balance_Sheet!G11-GF_Balance_Sheet!F11+GF_Balance_Sheet!G12-GF_Balance_Sheet!F12)</f>
        <v/>
      </c>
      <c r="H9" s="36">
        <f>-(GF_Balance_Sheet!H10-GF_Balance_Sheet!G10+GF_Balance_Sheet!H11-GF_Balance_Sheet!G11+GF_Balance_Sheet!H12-GF_Balance_Sheet!G12)</f>
        <v/>
      </c>
      <c r="I9" s="36">
        <f>-(GF_Balance_Sheet!I10-GF_Balance_Sheet!H10+GF_Balance_Sheet!I11-GF_Balance_Sheet!H11+GF_Balance_Sheet!I12-GF_Balance_Sheet!H12)</f>
        <v/>
      </c>
      <c r="J9" s="36">
        <f>-(GF_Balance_Sheet!J10-GF_Balance_Sheet!I10+GF_Balance_Sheet!J11-GF_Balance_Sheet!I11+GF_Balance_Sheet!J12-GF_Balance_Sheet!I12)</f>
        <v/>
      </c>
      <c r="K9" s="36">
        <f>-(GF_Balance_Sheet!K10-GF_Balance_Sheet!J10+GF_Balance_Sheet!K11-GF_Balance_Sheet!J11+GF_Balance_Sheet!K12-GF_Balance_Sheet!J12)</f>
        <v/>
      </c>
      <c r="L9" s="36">
        <f>-(GF_Balance_Sheet!L10-GF_Balance_Sheet!K10+GF_Balance_Sheet!L11-GF_Balance_Sheet!K11+GF_Balance_Sheet!L12-GF_Balance_Sheet!K12)</f>
        <v/>
      </c>
      <c r="M9" s="36">
        <f>-(GF_Balance_Sheet!M10-GF_Balance_Sheet!L10+GF_Balance_Sheet!M11-GF_Balance_Sheet!L11+GF_Balance_Sheet!M12-GF_Balance_Sheet!L12)</f>
        <v/>
      </c>
    </row>
    <row r="10">
      <c r="A10" s="21" t="inlineStr">
        <is>
          <t>(Increase) decrease in inventory and prepaids</t>
        </is>
      </c>
      <c r="B10" s="36" t="inlineStr"/>
      <c r="C10" s="36">
        <f>-(GF_Balance_Sheet!C16-GF_Balance_Sheet!B16+GF_Balance_Sheet!C17-GF_Balance_Sheet!B17)</f>
        <v/>
      </c>
      <c r="D10" s="36">
        <f>-(GF_Balance_Sheet!D16-GF_Balance_Sheet!C16+GF_Balance_Sheet!D17-GF_Balance_Sheet!C17)</f>
        <v/>
      </c>
      <c r="E10" s="36">
        <f>-(GF_Balance_Sheet!E16-GF_Balance_Sheet!D16+GF_Balance_Sheet!E17-GF_Balance_Sheet!D17)</f>
        <v/>
      </c>
      <c r="F10" s="36">
        <f>-(GF_Balance_Sheet!F16-GF_Balance_Sheet!E16+GF_Balance_Sheet!F17-GF_Balance_Sheet!E17)</f>
        <v/>
      </c>
      <c r="G10" s="36">
        <f>-(GF_Balance_Sheet!G16-GF_Balance_Sheet!F16+GF_Balance_Sheet!G17-GF_Balance_Sheet!F17)</f>
        <v/>
      </c>
      <c r="H10" s="36">
        <f>-(GF_Balance_Sheet!H16-GF_Balance_Sheet!G16+GF_Balance_Sheet!H17-GF_Balance_Sheet!G17)</f>
        <v/>
      </c>
      <c r="I10" s="36">
        <f>-(GF_Balance_Sheet!I16-GF_Balance_Sheet!H16+GF_Balance_Sheet!I17-GF_Balance_Sheet!H17)</f>
        <v/>
      </c>
      <c r="J10" s="36">
        <f>-(GF_Balance_Sheet!J16-GF_Balance_Sheet!I16+GF_Balance_Sheet!J17-GF_Balance_Sheet!I17)</f>
        <v/>
      </c>
      <c r="K10" s="36">
        <f>-(GF_Balance_Sheet!K16-GF_Balance_Sheet!J16+GF_Balance_Sheet!K17-GF_Balance_Sheet!J17)</f>
        <v/>
      </c>
      <c r="L10" s="36">
        <f>-(GF_Balance_Sheet!L16-GF_Balance_Sheet!K16+GF_Balance_Sheet!L17-GF_Balance_Sheet!K17)</f>
        <v/>
      </c>
      <c r="M10" s="36">
        <f>-(GF_Balance_Sheet!M16-GF_Balance_Sheet!L16+GF_Balance_Sheet!M17-GF_Balance_Sheet!L17)</f>
        <v/>
      </c>
    </row>
    <row r="11">
      <c r="A11" s="21" t="inlineStr">
        <is>
          <t>Increase (decrease) in accounts payable and accrued liabilities</t>
        </is>
      </c>
      <c r="B11" s="36" t="inlineStr"/>
      <c r="C11" s="36">
        <f>(GF_Balance_Sheet!C21-GF_Balance_Sheet!B21+GF_Balance_Sheet!C22-GF_Balance_Sheet!B22)</f>
        <v/>
      </c>
      <c r="D11" s="36">
        <f>(GF_Balance_Sheet!D21-GF_Balance_Sheet!C21+GF_Balance_Sheet!D22-GF_Balance_Sheet!C22)</f>
        <v/>
      </c>
      <c r="E11" s="36">
        <f>(GF_Balance_Sheet!E21-GF_Balance_Sheet!D21+GF_Balance_Sheet!E22-GF_Balance_Sheet!D22)</f>
        <v/>
      </c>
      <c r="F11" s="36">
        <f>(GF_Balance_Sheet!F21-GF_Balance_Sheet!E21+GF_Balance_Sheet!F22-GF_Balance_Sheet!E22)</f>
        <v/>
      </c>
      <c r="G11" s="36">
        <f>(GF_Balance_Sheet!G21-GF_Balance_Sheet!F21+GF_Balance_Sheet!G22-GF_Balance_Sheet!F22)</f>
        <v/>
      </c>
      <c r="H11" s="36">
        <f>(GF_Balance_Sheet!H21-GF_Balance_Sheet!G21+GF_Balance_Sheet!H22-GF_Balance_Sheet!G22)</f>
        <v/>
      </c>
      <c r="I11" s="36">
        <f>(GF_Balance_Sheet!I21-GF_Balance_Sheet!H21+GF_Balance_Sheet!I22-GF_Balance_Sheet!H22)</f>
        <v/>
      </c>
      <c r="J11" s="36">
        <f>(GF_Balance_Sheet!J21-GF_Balance_Sheet!I21+GF_Balance_Sheet!J22-GF_Balance_Sheet!I22)</f>
        <v/>
      </c>
      <c r="K11" s="36">
        <f>(GF_Balance_Sheet!K21-GF_Balance_Sheet!J21+GF_Balance_Sheet!K22-GF_Balance_Sheet!J22)</f>
        <v/>
      </c>
      <c r="L11" s="36">
        <f>(GF_Balance_Sheet!L21-GF_Balance_Sheet!K21+GF_Balance_Sheet!L22-GF_Balance_Sheet!K22)</f>
        <v/>
      </c>
      <c r="M11" s="36">
        <f>(GF_Balance_Sheet!M21-GF_Balance_Sheet!L21+GF_Balance_Sheet!M22-GF_Balance_Sheet!L22)</f>
        <v/>
      </c>
    </row>
    <row r="12">
      <c r="A12" s="21" t="inlineStr">
        <is>
          <t>Increase (decrease) in deposits payable</t>
        </is>
      </c>
      <c r="B12" s="36" t="inlineStr"/>
      <c r="C12" s="36">
        <f>(GF_Balance_Sheet!C24-GF_Balance_Sheet!B24)</f>
        <v/>
      </c>
      <c r="D12" s="36">
        <f>(GF_Balance_Sheet!D24-GF_Balance_Sheet!C24)</f>
        <v/>
      </c>
      <c r="E12" s="36">
        <f>(GF_Balance_Sheet!E24-GF_Balance_Sheet!D24)</f>
        <v/>
      </c>
      <c r="F12" s="36">
        <f>(GF_Balance_Sheet!F24-GF_Balance_Sheet!E24)</f>
        <v/>
      </c>
      <c r="G12" s="36">
        <f>(GF_Balance_Sheet!G24-GF_Balance_Sheet!F24)</f>
        <v/>
      </c>
      <c r="H12" s="36">
        <f>(GF_Balance_Sheet!H24-GF_Balance_Sheet!G24)</f>
        <v/>
      </c>
      <c r="I12" s="36">
        <f>(GF_Balance_Sheet!I24-GF_Balance_Sheet!H24)</f>
        <v/>
      </c>
      <c r="J12" s="36">
        <f>(GF_Balance_Sheet!J24-GF_Balance_Sheet!I24)</f>
        <v/>
      </c>
      <c r="K12" s="36">
        <f>(GF_Balance_Sheet!K24-GF_Balance_Sheet!J24)</f>
        <v/>
      </c>
      <c r="L12" s="36">
        <f>(GF_Balance_Sheet!L24-GF_Balance_Sheet!K24)</f>
        <v/>
      </c>
      <c r="M12" s="36">
        <f>(GF_Balance_Sheet!M24-GF_Balance_Sheet!L24)</f>
        <v/>
      </c>
    </row>
    <row r="13">
      <c r="A13" s="21" t="inlineStr">
        <is>
          <t>Increase (decrease) in unearned revenue and unavailable revenue</t>
        </is>
      </c>
      <c r="B13" s="36" t="inlineStr"/>
      <c r="C13" s="36">
        <f>(GF_Balance_Sheet!C25-GF_Balance_Sheet!B25+GF_Balance_Sheet!C30-GF_Balance_Sheet!B30)</f>
        <v/>
      </c>
      <c r="D13" s="36">
        <f>(GF_Balance_Sheet!D25-GF_Balance_Sheet!C25+GF_Balance_Sheet!D30-GF_Balance_Sheet!C30)</f>
        <v/>
      </c>
      <c r="E13" s="36">
        <f>(GF_Balance_Sheet!E25-GF_Balance_Sheet!D25+GF_Balance_Sheet!E30-GF_Balance_Sheet!D30)</f>
        <v/>
      </c>
      <c r="F13" s="36">
        <f>(GF_Balance_Sheet!F25-GF_Balance_Sheet!E25+GF_Balance_Sheet!F30-GF_Balance_Sheet!E30)</f>
        <v/>
      </c>
      <c r="G13" s="36">
        <f>(GF_Balance_Sheet!G25-GF_Balance_Sheet!F25+GF_Balance_Sheet!G30-GF_Balance_Sheet!F30)</f>
        <v/>
      </c>
      <c r="H13" s="36">
        <f>(GF_Balance_Sheet!H25-GF_Balance_Sheet!G25+GF_Balance_Sheet!H30-GF_Balance_Sheet!G30)</f>
        <v/>
      </c>
      <c r="I13" s="36">
        <f>(GF_Balance_Sheet!I25-GF_Balance_Sheet!H25+GF_Balance_Sheet!I30-GF_Balance_Sheet!H30)</f>
        <v/>
      </c>
      <c r="J13" s="36">
        <f>(GF_Balance_Sheet!J25-GF_Balance_Sheet!I25+GF_Balance_Sheet!J30-GF_Balance_Sheet!I30)</f>
        <v/>
      </c>
      <c r="K13" s="36">
        <f>(GF_Balance_Sheet!K25-GF_Balance_Sheet!J25+GF_Balance_Sheet!K30-GF_Balance_Sheet!J30)</f>
        <v/>
      </c>
      <c r="L13" s="36">
        <f>(GF_Balance_Sheet!L25-GF_Balance_Sheet!K25+GF_Balance_Sheet!L30-GF_Balance_Sheet!K30)</f>
        <v/>
      </c>
      <c r="M13" s="36">
        <f>(GF_Balance_Sheet!M25-GF_Balance_Sheet!L25+GF_Balance_Sheet!M30-GF_Balance_Sheet!L30)</f>
        <v/>
      </c>
    </row>
    <row r="14">
      <c r="A14" s="12" t="inlineStr">
        <is>
          <t>Net cash provided (used) by operating activities</t>
        </is>
      </c>
      <c r="B14" s="24" t="inlineStr"/>
      <c r="C14" s="24">
        <f>SUM(C8:C13)</f>
        <v/>
      </c>
      <c r="D14" s="24">
        <f>SUM(D8:D13)</f>
        <v/>
      </c>
      <c r="E14" s="24">
        <f>SUM(E8:E13)</f>
        <v/>
      </c>
      <c r="F14" s="24">
        <f>SUM(F8:F13)</f>
        <v/>
      </c>
      <c r="G14" s="24">
        <f>SUM(G8:G13)</f>
        <v/>
      </c>
      <c r="H14" s="24">
        <f>SUM(H8:H13)</f>
        <v/>
      </c>
      <c r="I14" s="24">
        <f>SUM(I8:I13)</f>
        <v/>
      </c>
      <c r="J14" s="24">
        <f>SUM(J8:J13)</f>
        <v/>
      </c>
      <c r="K14" s="24">
        <f>SUM(K8:K13)</f>
        <v/>
      </c>
      <c r="L14" s="24">
        <f>SUM(L8:L13)</f>
        <v/>
      </c>
      <c r="M14" s="24">
        <f>SUM(M8:M13)</f>
        <v/>
      </c>
    </row>
    <row r="15">
      <c r="A15" s="2" t="n"/>
      <c r="B15" s="2" t="n"/>
      <c r="C15" s="2" t="n"/>
      <c r="D15" s="2" t="n"/>
      <c r="E15" s="2" t="n"/>
      <c r="F15" s="2" t="n"/>
      <c r="G15" s="2" t="n"/>
      <c r="H15" s="2" t="n"/>
      <c r="I15" s="2" t="n"/>
      <c r="J15" s="2" t="n"/>
      <c r="K15" s="2" t="n"/>
      <c r="L15" s="2" t="n"/>
      <c r="M15" s="2" t="n"/>
    </row>
    <row r="16">
      <c r="A16" s="19" t="inlineStr">
        <is>
          <t>CASH FLOWS FROM NONCAPITAL FINANCING ACTIVITIES</t>
        </is>
      </c>
      <c r="B16" s="20" t="n"/>
      <c r="C16" s="20" t="n"/>
      <c r="D16" s="20" t="n"/>
      <c r="E16" s="20" t="n"/>
      <c r="F16" s="20" t="n"/>
      <c r="G16" s="20" t="n"/>
      <c r="H16" s="20" t="n"/>
      <c r="I16" s="20" t="n"/>
      <c r="J16" s="20" t="n"/>
      <c r="K16" s="20" t="n"/>
      <c r="L16" s="20" t="n"/>
      <c r="M16" s="20" t="n"/>
    </row>
    <row r="17">
      <c r="A17" s="21" t="inlineStr">
        <is>
          <t>Transfers in</t>
        </is>
      </c>
      <c r="B17" s="36" t="inlineStr"/>
      <c r="C17" s="36">
        <f>GF_Operating_Statement!C39</f>
        <v/>
      </c>
      <c r="D17" s="36">
        <f>GF_Operating_Statement!D39</f>
        <v/>
      </c>
      <c r="E17" s="36">
        <f>GF_Operating_Statement!E39</f>
        <v/>
      </c>
      <c r="F17" s="36">
        <f>GF_Operating_Statement!F39</f>
        <v/>
      </c>
      <c r="G17" s="36">
        <f>GF_Operating_Statement!G39</f>
        <v/>
      </c>
      <c r="H17" s="36">
        <f>GF_Operating_Statement!H39</f>
        <v/>
      </c>
      <c r="I17" s="36">
        <f>GF_Operating_Statement!I39</f>
        <v/>
      </c>
      <c r="J17" s="36">
        <f>GF_Operating_Statement!J39</f>
        <v/>
      </c>
      <c r="K17" s="36">
        <f>GF_Operating_Statement!K39</f>
        <v/>
      </c>
      <c r="L17" s="36">
        <f>GF_Operating_Statement!L39</f>
        <v/>
      </c>
      <c r="M17" s="36">
        <f>GF_Operating_Statement!M39</f>
        <v/>
      </c>
    </row>
    <row r="18">
      <c r="A18" s="21" t="inlineStr">
        <is>
          <t>Transfers out</t>
        </is>
      </c>
      <c r="B18" s="36" t="inlineStr"/>
      <c r="C18" s="36">
        <f>GF_Operating_Statement!C40</f>
        <v/>
      </c>
      <c r="D18" s="36">
        <f>GF_Operating_Statement!D40</f>
        <v/>
      </c>
      <c r="E18" s="36">
        <f>GF_Operating_Statement!E40</f>
        <v/>
      </c>
      <c r="F18" s="36">
        <f>GF_Operating_Statement!F40</f>
        <v/>
      </c>
      <c r="G18" s="36">
        <f>GF_Operating_Statement!G40</f>
        <v/>
      </c>
      <c r="H18" s="36">
        <f>GF_Operating_Statement!H40</f>
        <v/>
      </c>
      <c r="I18" s="36">
        <f>GF_Operating_Statement!I40</f>
        <v/>
      </c>
      <c r="J18" s="36">
        <f>GF_Operating_Statement!J40</f>
        <v/>
      </c>
      <c r="K18" s="36">
        <f>GF_Operating_Statement!K40</f>
        <v/>
      </c>
      <c r="L18" s="36">
        <f>GF_Operating_Statement!L40</f>
        <v/>
      </c>
      <c r="M18" s="36">
        <f>GF_Operating_Statement!M40</f>
        <v/>
      </c>
    </row>
    <row r="19">
      <c r="A19" s="21" t="inlineStr">
        <is>
          <t>Special items</t>
        </is>
      </c>
      <c r="B19" s="36" t="inlineStr"/>
      <c r="C19" s="36">
        <f>GF_Operating_Statement!C46</f>
        <v/>
      </c>
      <c r="D19" s="36">
        <f>GF_Operating_Statement!D46</f>
        <v/>
      </c>
      <c r="E19" s="36">
        <f>GF_Operating_Statement!E46</f>
        <v/>
      </c>
      <c r="F19" s="36">
        <f>GF_Operating_Statement!F46</f>
        <v/>
      </c>
      <c r="G19" s="36">
        <f>GF_Operating_Statement!G46</f>
        <v/>
      </c>
      <c r="H19" s="36">
        <f>GF_Operating_Statement!H46</f>
        <v/>
      </c>
      <c r="I19" s="36">
        <f>GF_Operating_Statement!I46</f>
        <v/>
      </c>
      <c r="J19" s="36">
        <f>GF_Operating_Statement!J46</f>
        <v/>
      </c>
      <c r="K19" s="36">
        <f>GF_Operating_Statement!K46</f>
        <v/>
      </c>
      <c r="L19" s="36">
        <f>GF_Operating_Statement!L46</f>
        <v/>
      </c>
      <c r="M19" s="36">
        <f>GF_Operating_Statement!M46</f>
        <v/>
      </c>
    </row>
    <row r="20">
      <c r="A20" s="21" t="inlineStr">
        <is>
          <t>Net change in interfund balances and advances</t>
        </is>
      </c>
      <c r="B20" s="36" t="inlineStr"/>
      <c r="C20" s="36">
        <f>-(GF_Balance_Sheet!C13-GF_Balance_Sheet!B13+GF_Balance_Sheet!C14-GF_Balance_Sheet!B14+GF_Balance_Sheet!C15-GF_Balance_Sheet!B15)+(GF_Balance_Sheet!C23-GF_Balance_Sheet!B23)</f>
        <v/>
      </c>
      <c r="D20" s="36">
        <f>-(GF_Balance_Sheet!D13-GF_Balance_Sheet!C13+GF_Balance_Sheet!D14-GF_Balance_Sheet!C14+GF_Balance_Sheet!D15-GF_Balance_Sheet!C15)+(GF_Balance_Sheet!D23-GF_Balance_Sheet!C23)</f>
        <v/>
      </c>
      <c r="E20" s="36">
        <f>-(GF_Balance_Sheet!E13-GF_Balance_Sheet!D13+GF_Balance_Sheet!E14-GF_Balance_Sheet!D14+GF_Balance_Sheet!E15-GF_Balance_Sheet!D15)+(GF_Balance_Sheet!E23-GF_Balance_Sheet!D23)</f>
        <v/>
      </c>
      <c r="F20" s="36">
        <f>-(GF_Balance_Sheet!F13-GF_Balance_Sheet!E13+GF_Balance_Sheet!F14-GF_Balance_Sheet!E14+GF_Balance_Sheet!F15-GF_Balance_Sheet!E15)+(GF_Balance_Sheet!F23-GF_Balance_Sheet!E23)</f>
        <v/>
      </c>
      <c r="G20" s="36">
        <f>-(GF_Balance_Sheet!G13-GF_Balance_Sheet!F13+GF_Balance_Sheet!G14-GF_Balance_Sheet!F14+GF_Balance_Sheet!G15-GF_Balance_Sheet!F15)+(GF_Balance_Sheet!G23-GF_Balance_Sheet!F23)</f>
        <v/>
      </c>
      <c r="H20" s="36">
        <f>-(GF_Balance_Sheet!H13-GF_Balance_Sheet!G13+GF_Balance_Sheet!H14-GF_Balance_Sheet!G14+GF_Balance_Sheet!H15-GF_Balance_Sheet!G15)+(GF_Balance_Sheet!H23-GF_Balance_Sheet!G23)</f>
        <v/>
      </c>
      <c r="I20" s="36">
        <f>-(GF_Balance_Sheet!I13-GF_Balance_Sheet!H13+GF_Balance_Sheet!I14-GF_Balance_Sheet!H14+GF_Balance_Sheet!I15-GF_Balance_Sheet!H15)+(GF_Balance_Sheet!I23-GF_Balance_Sheet!H23)</f>
        <v/>
      </c>
      <c r="J20" s="36">
        <f>-(GF_Balance_Sheet!J13-GF_Balance_Sheet!I13+GF_Balance_Sheet!J14-GF_Balance_Sheet!I14+GF_Balance_Sheet!J15-GF_Balance_Sheet!I15)+(GF_Balance_Sheet!J23-GF_Balance_Sheet!I23)</f>
        <v/>
      </c>
      <c r="K20" s="36">
        <f>-(GF_Balance_Sheet!K13-GF_Balance_Sheet!J13+GF_Balance_Sheet!K14-GF_Balance_Sheet!J14+GF_Balance_Sheet!K15-GF_Balance_Sheet!J15)+(GF_Balance_Sheet!K23-GF_Balance_Sheet!J23)</f>
        <v/>
      </c>
      <c r="L20" s="36">
        <f>-(GF_Balance_Sheet!L13-GF_Balance_Sheet!K13+GF_Balance_Sheet!L14-GF_Balance_Sheet!K14+GF_Balance_Sheet!L15-GF_Balance_Sheet!K15)+(GF_Balance_Sheet!L23-GF_Balance_Sheet!K23)</f>
        <v/>
      </c>
      <c r="M20" s="36">
        <f>-(GF_Balance_Sheet!M13-GF_Balance_Sheet!L13+GF_Balance_Sheet!M14-GF_Balance_Sheet!L14+GF_Balance_Sheet!M15-GF_Balance_Sheet!L15)+(GF_Balance_Sheet!M23-GF_Balance_Sheet!L23)</f>
        <v/>
      </c>
    </row>
    <row r="21">
      <c r="A21" s="21" t="inlineStr">
        <is>
          <t>Short-term notes (TRAN) issued (repaid), net</t>
        </is>
      </c>
      <c r="B21" s="36" t="inlineStr"/>
      <c r="C21" s="36">
        <f>(GF_Balance_Sheet!C26-GF_Balance_Sheet!B26)</f>
        <v/>
      </c>
      <c r="D21" s="36">
        <f>(GF_Balance_Sheet!D26-GF_Balance_Sheet!C26)</f>
        <v/>
      </c>
      <c r="E21" s="36">
        <f>(GF_Balance_Sheet!E26-GF_Balance_Sheet!D26)</f>
        <v/>
      </c>
      <c r="F21" s="36">
        <f>(GF_Balance_Sheet!F26-GF_Balance_Sheet!E26)</f>
        <v/>
      </c>
      <c r="G21" s="36">
        <f>(GF_Balance_Sheet!G26-GF_Balance_Sheet!F26)</f>
        <v/>
      </c>
      <c r="H21" s="36">
        <f>(GF_Balance_Sheet!H26-GF_Balance_Sheet!G26)</f>
        <v/>
      </c>
      <c r="I21" s="36">
        <f>(GF_Balance_Sheet!I26-GF_Balance_Sheet!H26)</f>
        <v/>
      </c>
      <c r="J21" s="36">
        <f>(GF_Balance_Sheet!J26-GF_Balance_Sheet!I26)</f>
        <v/>
      </c>
      <c r="K21" s="36">
        <f>(GF_Balance_Sheet!K26-GF_Balance_Sheet!J26)</f>
        <v/>
      </c>
      <c r="L21" s="36">
        <f>(GF_Balance_Sheet!L26-GF_Balance_Sheet!K26)</f>
        <v/>
      </c>
      <c r="M21" s="36">
        <f>(GF_Balance_Sheet!M26-GF_Balance_Sheet!L26)</f>
        <v/>
      </c>
    </row>
    <row r="22">
      <c r="A22" s="12" t="inlineStr">
        <is>
          <t>Net cash provided (used) by noncapital financing activities</t>
        </is>
      </c>
      <c r="B22" s="24" t="inlineStr"/>
      <c r="C22" s="24">
        <f>SUM(C17:C21)</f>
        <v/>
      </c>
      <c r="D22" s="24">
        <f>SUM(D17:D21)</f>
        <v/>
      </c>
      <c r="E22" s="24">
        <f>SUM(E17:E21)</f>
        <v/>
      </c>
      <c r="F22" s="24">
        <f>SUM(F17:F21)</f>
        <v/>
      </c>
      <c r="G22" s="24">
        <f>SUM(G17:G21)</f>
        <v/>
      </c>
      <c r="H22" s="24">
        <f>SUM(H17:H21)</f>
        <v/>
      </c>
      <c r="I22" s="24">
        <f>SUM(I17:I21)</f>
        <v/>
      </c>
      <c r="J22" s="24">
        <f>SUM(J17:J21)</f>
        <v/>
      </c>
      <c r="K22" s="24">
        <f>SUM(K17:K21)</f>
        <v/>
      </c>
      <c r="L22" s="24">
        <f>SUM(L17:L21)</f>
        <v/>
      </c>
      <c r="M22" s="24">
        <f>SUM(M17:M21)</f>
        <v/>
      </c>
    </row>
    <row r="23">
      <c r="A23" s="2" t="n"/>
      <c r="B23" s="2" t="n"/>
      <c r="C23" s="2" t="n"/>
      <c r="D23" s="2" t="n"/>
      <c r="E23" s="2" t="n"/>
      <c r="F23" s="2" t="n"/>
      <c r="G23" s="2" t="n"/>
      <c r="H23" s="2" t="n"/>
      <c r="I23" s="2" t="n"/>
      <c r="J23" s="2" t="n"/>
      <c r="K23" s="2" t="n"/>
      <c r="L23" s="2" t="n"/>
      <c r="M23" s="2" t="n"/>
    </row>
    <row r="24">
      <c r="A24" s="19" t="inlineStr">
        <is>
          <t>CASH FLOWS FROM CAPITAL AND RELATED FINANCING ACTIVITIES</t>
        </is>
      </c>
      <c r="B24" s="20" t="n"/>
      <c r="C24" s="20" t="n"/>
      <c r="D24" s="20" t="n"/>
      <c r="E24" s="20" t="n"/>
      <c r="F24" s="20" t="n"/>
      <c r="G24" s="20" t="n"/>
      <c r="H24" s="20" t="n"/>
      <c r="I24" s="20" t="n"/>
      <c r="J24" s="20" t="n"/>
      <c r="K24" s="20" t="n"/>
      <c r="L24" s="20" t="n"/>
      <c r="M24" s="20" t="n"/>
    </row>
    <row r="25">
      <c r="A25" s="21" t="inlineStr">
        <is>
          <t>Capital outlay</t>
        </is>
      </c>
      <c r="B25" s="36" t="inlineStr"/>
      <c r="C25" s="36">
        <f>-GF_Operating_Statement!C30</f>
        <v/>
      </c>
      <c r="D25" s="36">
        <f>-GF_Operating_Statement!D30</f>
        <v/>
      </c>
      <c r="E25" s="36">
        <f>-GF_Operating_Statement!E30</f>
        <v/>
      </c>
      <c r="F25" s="36">
        <f>-GF_Operating_Statement!F30</f>
        <v/>
      </c>
      <c r="G25" s="36">
        <f>-GF_Operating_Statement!G30</f>
        <v/>
      </c>
      <c r="H25" s="36">
        <f>-GF_Operating_Statement!H30</f>
        <v/>
      </c>
      <c r="I25" s="36">
        <f>-GF_Operating_Statement!I30</f>
        <v/>
      </c>
      <c r="J25" s="36">
        <f>-GF_Operating_Statement!J30</f>
        <v/>
      </c>
      <c r="K25" s="36">
        <f>-GF_Operating_Statement!K30</f>
        <v/>
      </c>
      <c r="L25" s="36">
        <f>-GF_Operating_Statement!L30</f>
        <v/>
      </c>
      <c r="M25" s="36">
        <f>-GF_Operating_Statement!M30</f>
        <v/>
      </c>
    </row>
    <row r="26">
      <c r="A26" s="21" t="inlineStr">
        <is>
          <t>Principal paid on debt and leases</t>
        </is>
      </c>
      <c r="B26" s="36" t="inlineStr"/>
      <c r="C26" s="36">
        <f>-GF_Operating_Statement!C32</f>
        <v/>
      </c>
      <c r="D26" s="36">
        <f>-GF_Operating_Statement!D32</f>
        <v/>
      </c>
      <c r="E26" s="36">
        <f>-GF_Operating_Statement!E32</f>
        <v/>
      </c>
      <c r="F26" s="36">
        <f>-GF_Operating_Statement!F32</f>
        <v/>
      </c>
      <c r="G26" s="36">
        <f>-GF_Operating_Statement!G32</f>
        <v/>
      </c>
      <c r="H26" s="36">
        <f>-GF_Operating_Statement!H32</f>
        <v/>
      </c>
      <c r="I26" s="36">
        <f>-GF_Operating_Statement!I32</f>
        <v/>
      </c>
      <c r="J26" s="36">
        <f>-GF_Operating_Statement!J32</f>
        <v/>
      </c>
      <c r="K26" s="36">
        <f>-GF_Operating_Statement!K32</f>
        <v/>
      </c>
      <c r="L26" s="36">
        <f>-GF_Operating_Statement!L32</f>
        <v/>
      </c>
      <c r="M26" s="36">
        <f>-GF_Operating_Statement!M32</f>
        <v/>
      </c>
    </row>
    <row r="27">
      <c r="A27" s="21" t="inlineStr">
        <is>
          <t>Interest and fiscal charges paid</t>
        </is>
      </c>
      <c r="B27" s="36" t="inlineStr"/>
      <c r="C27" s="36">
        <f>-GF_Operating_Statement!C33</f>
        <v/>
      </c>
      <c r="D27" s="36">
        <f>-GF_Operating_Statement!D33</f>
        <v/>
      </c>
      <c r="E27" s="36">
        <f>-GF_Operating_Statement!E33</f>
        <v/>
      </c>
      <c r="F27" s="36">
        <f>-GF_Operating_Statement!F33</f>
        <v/>
      </c>
      <c r="G27" s="36">
        <f>-GF_Operating_Statement!G33</f>
        <v/>
      </c>
      <c r="H27" s="36">
        <f>-GF_Operating_Statement!H33</f>
        <v/>
      </c>
      <c r="I27" s="36">
        <f>-GF_Operating_Statement!I33</f>
        <v/>
      </c>
      <c r="J27" s="36">
        <f>-GF_Operating_Statement!J33</f>
        <v/>
      </c>
      <c r="K27" s="36">
        <f>-GF_Operating_Statement!K33</f>
        <v/>
      </c>
      <c r="L27" s="36">
        <f>-GF_Operating_Statement!L33</f>
        <v/>
      </c>
      <c r="M27" s="36">
        <f>-GF_Operating_Statement!M33</f>
        <v/>
      </c>
    </row>
    <row r="28">
      <c r="A28" s="21" t="inlineStr">
        <is>
          <t>Debt / lease proceeds and sale of capital assets</t>
        </is>
      </c>
      <c r="B28" s="36" t="inlineStr"/>
      <c r="C28" s="36">
        <f>GF_Operating_Statement!C41+GF_Operating_Statement!C42</f>
        <v/>
      </c>
      <c r="D28" s="36">
        <f>GF_Operating_Statement!D41+GF_Operating_Statement!D42</f>
        <v/>
      </c>
      <c r="E28" s="36">
        <f>GF_Operating_Statement!E41+GF_Operating_Statement!E42</f>
        <v/>
      </c>
      <c r="F28" s="36">
        <f>GF_Operating_Statement!F41+GF_Operating_Statement!F42</f>
        <v/>
      </c>
      <c r="G28" s="36">
        <f>GF_Operating_Statement!G41+GF_Operating_Statement!G42</f>
        <v/>
      </c>
      <c r="H28" s="36">
        <f>GF_Operating_Statement!H41+GF_Operating_Statement!H42</f>
        <v/>
      </c>
      <c r="I28" s="36">
        <f>GF_Operating_Statement!I41+GF_Operating_Statement!I42</f>
        <v/>
      </c>
      <c r="J28" s="36">
        <f>GF_Operating_Statement!J41+GF_Operating_Statement!J42</f>
        <v/>
      </c>
      <c r="K28" s="36">
        <f>GF_Operating_Statement!K41+GF_Operating_Statement!K42</f>
        <v/>
      </c>
      <c r="L28" s="36">
        <f>GF_Operating_Statement!L41+GF_Operating_Statement!L42</f>
        <v/>
      </c>
      <c r="M28" s="36">
        <f>GF_Operating_Statement!M41+GF_Operating_Statement!M42</f>
        <v/>
      </c>
    </row>
    <row r="29">
      <c r="A29" s="12" t="inlineStr">
        <is>
          <t>Net cash provided (used) by capital and related financing activities</t>
        </is>
      </c>
      <c r="B29" s="24" t="inlineStr"/>
      <c r="C29" s="24">
        <f>SUM(C25:C28)</f>
        <v/>
      </c>
      <c r="D29" s="24">
        <f>SUM(D25:D28)</f>
        <v/>
      </c>
      <c r="E29" s="24">
        <f>SUM(E25:E28)</f>
        <v/>
      </c>
      <c r="F29" s="24">
        <f>SUM(F25:F28)</f>
        <v/>
      </c>
      <c r="G29" s="24">
        <f>SUM(G25:G28)</f>
        <v/>
      </c>
      <c r="H29" s="24">
        <f>SUM(H25:H28)</f>
        <v/>
      </c>
      <c r="I29" s="24">
        <f>SUM(I25:I28)</f>
        <v/>
      </c>
      <c r="J29" s="24">
        <f>SUM(J25:J28)</f>
        <v/>
      </c>
      <c r="K29" s="24">
        <f>SUM(K25:K28)</f>
        <v/>
      </c>
      <c r="L29" s="24">
        <f>SUM(L25:L28)</f>
        <v/>
      </c>
      <c r="M29" s="24">
        <f>SUM(M25:M28)</f>
        <v/>
      </c>
    </row>
    <row r="30">
      <c r="A30" s="2" t="n"/>
      <c r="B30" s="2" t="n"/>
      <c r="C30" s="2" t="n"/>
      <c r="D30" s="2" t="n"/>
      <c r="E30" s="2" t="n"/>
      <c r="F30" s="2" t="n"/>
      <c r="G30" s="2" t="n"/>
      <c r="H30" s="2" t="n"/>
      <c r="I30" s="2" t="n"/>
      <c r="J30" s="2" t="n"/>
      <c r="K30" s="2" t="n"/>
      <c r="L30" s="2" t="n"/>
      <c r="M30" s="2" t="n"/>
    </row>
    <row r="31">
      <c r="A31" s="19" t="inlineStr">
        <is>
          <t>CASH FLOWS FROM INVESTING ACTIVITIES</t>
        </is>
      </c>
      <c r="B31" s="20" t="n"/>
      <c r="C31" s="20" t="n"/>
      <c r="D31" s="20" t="n"/>
      <c r="E31" s="20" t="n"/>
      <c r="F31" s="20" t="n"/>
      <c r="G31" s="20" t="n"/>
      <c r="H31" s="20" t="n"/>
      <c r="I31" s="20" t="n"/>
      <c r="J31" s="20" t="n"/>
      <c r="K31" s="20" t="n"/>
      <c r="L31" s="20" t="n"/>
      <c r="M31" s="20" t="n"/>
    </row>
    <row r="32">
      <c r="A32" s="21" t="inlineStr">
        <is>
          <t>Not separately identifiable (interest income is in 'Use of money and property', combined with rents)</t>
        </is>
      </c>
      <c r="B32" s="22" t="inlineStr"/>
      <c r="C32" s="22" t="inlineStr"/>
      <c r="D32" s="22" t="inlineStr"/>
      <c r="E32" s="22" t="inlineStr"/>
      <c r="F32" s="22" t="inlineStr"/>
      <c r="G32" s="22" t="inlineStr"/>
      <c r="H32" s="22" t="inlineStr"/>
      <c r="I32" s="22" t="inlineStr"/>
      <c r="J32" s="22" t="inlineStr"/>
      <c r="K32" s="22" t="inlineStr"/>
      <c r="L32" s="22" t="inlineStr"/>
      <c r="M32" s="22" t="inlineStr"/>
    </row>
    <row r="33">
      <c r="A33" s="2" t="n"/>
      <c r="B33" s="2" t="n"/>
      <c r="C33" s="2" t="n"/>
      <c r="D33" s="2" t="n"/>
      <c r="E33" s="2" t="n"/>
      <c r="F33" s="2" t="n"/>
      <c r="G33" s="2" t="n"/>
      <c r="H33" s="2" t="n"/>
      <c r="I33" s="2" t="n"/>
      <c r="J33" s="2" t="n"/>
      <c r="K33" s="2" t="n"/>
      <c r="L33" s="2" t="n"/>
      <c r="M33" s="2" t="n"/>
    </row>
    <row r="34">
      <c r="A34" s="12" t="inlineStr">
        <is>
          <t>Total identified cash flows</t>
        </is>
      </c>
      <c r="B34" s="27" t="inlineStr"/>
      <c r="C34" s="27">
        <f>C14+C22+C29</f>
        <v/>
      </c>
      <c r="D34" s="27">
        <f>D14+D22+D29</f>
        <v/>
      </c>
      <c r="E34" s="27">
        <f>E14+E22+E29</f>
        <v/>
      </c>
      <c r="F34" s="27">
        <f>F14+F22+F29</f>
        <v/>
      </c>
      <c r="G34" s="27">
        <f>G14+G22+G29</f>
        <v/>
      </c>
      <c r="H34" s="27">
        <f>H14+H22+H29</f>
        <v/>
      </c>
      <c r="I34" s="27">
        <f>I14+I22+I29</f>
        <v/>
      </c>
      <c r="J34" s="27">
        <f>J14+J22+J29</f>
        <v/>
      </c>
      <c r="K34" s="27">
        <f>K14+K22+K29</f>
        <v/>
      </c>
      <c r="L34" s="27">
        <f>L14+L22+L29</f>
        <v/>
      </c>
      <c r="M34" s="27">
        <f>M14+M22+M29</f>
        <v/>
      </c>
    </row>
    <row r="35">
      <c r="A35" s="13" t="inlineStr">
        <is>
          <t>Prior-period restatements / unreconciled</t>
        </is>
      </c>
      <c r="B35" s="22" t="inlineStr"/>
      <c r="C35" s="22">
        <f>C37-C34</f>
        <v/>
      </c>
      <c r="D35" s="22">
        <f>D37-D34</f>
        <v/>
      </c>
      <c r="E35" s="22">
        <f>E37-E34</f>
        <v/>
      </c>
      <c r="F35" s="22">
        <f>F37-F34</f>
        <v/>
      </c>
      <c r="G35" s="22">
        <f>G37-G34</f>
        <v/>
      </c>
      <c r="H35" s="22">
        <f>H37-H34</f>
        <v/>
      </c>
      <c r="I35" s="22">
        <f>I37-I34</f>
        <v/>
      </c>
      <c r="J35" s="22">
        <f>J37-J34</f>
        <v/>
      </c>
      <c r="K35" s="22">
        <f>K37-K34</f>
        <v/>
      </c>
      <c r="L35" s="22">
        <f>L37-L34</f>
        <v/>
      </c>
      <c r="M35" s="22">
        <f>M37-M34</f>
        <v/>
      </c>
    </row>
    <row r="36">
      <c r="A36" s="2" t="n"/>
      <c r="B36" s="2" t="n"/>
      <c r="C36" s="2" t="n"/>
      <c r="D36" s="2" t="n"/>
      <c r="E36" s="2" t="n"/>
      <c r="F36" s="2" t="n"/>
      <c r="G36" s="2" t="n"/>
      <c r="H36" s="2" t="n"/>
      <c r="I36" s="2" t="n"/>
      <c r="J36" s="2" t="n"/>
      <c r="K36" s="2" t="n"/>
      <c r="L36" s="2" t="n"/>
      <c r="M36" s="2" t="n"/>
    </row>
    <row r="37">
      <c r="A37" s="12" t="inlineStr">
        <is>
          <t>Net change in cash (cash + cash with fiscal agents)</t>
        </is>
      </c>
      <c r="B37" s="24" t="inlineStr"/>
      <c r="C37" s="24">
        <f>(GF_Balance_Sheet!C8+GF_Balance_Sheet!C9)-(GF_Balance_Sheet!B8+GF_Balance_Sheet!B9)</f>
        <v/>
      </c>
      <c r="D37" s="24">
        <f>(GF_Balance_Sheet!D8+GF_Balance_Sheet!D9)-(GF_Balance_Sheet!C8+GF_Balance_Sheet!C9)</f>
        <v/>
      </c>
      <c r="E37" s="24">
        <f>(GF_Balance_Sheet!E8+GF_Balance_Sheet!E9)-(GF_Balance_Sheet!D8+GF_Balance_Sheet!D9)</f>
        <v/>
      </c>
      <c r="F37" s="24">
        <f>(GF_Balance_Sheet!F8+GF_Balance_Sheet!F9)-(GF_Balance_Sheet!E8+GF_Balance_Sheet!E9)</f>
        <v/>
      </c>
      <c r="G37" s="24">
        <f>(GF_Balance_Sheet!G8+GF_Balance_Sheet!G9)-(GF_Balance_Sheet!F8+GF_Balance_Sheet!F9)</f>
        <v/>
      </c>
      <c r="H37" s="24">
        <f>(GF_Balance_Sheet!H8+GF_Balance_Sheet!H9)-(GF_Balance_Sheet!G8+GF_Balance_Sheet!G9)</f>
        <v/>
      </c>
      <c r="I37" s="24">
        <f>(GF_Balance_Sheet!I8+GF_Balance_Sheet!I9)-(GF_Balance_Sheet!H8+GF_Balance_Sheet!H9)</f>
        <v/>
      </c>
      <c r="J37" s="24">
        <f>(GF_Balance_Sheet!J8+GF_Balance_Sheet!J9)-(GF_Balance_Sheet!I8+GF_Balance_Sheet!I9)</f>
        <v/>
      </c>
      <c r="K37" s="24">
        <f>(GF_Balance_Sheet!K8+GF_Balance_Sheet!K9)-(GF_Balance_Sheet!J8+GF_Balance_Sheet!J9)</f>
        <v/>
      </c>
      <c r="L37" s="24">
        <f>(GF_Balance_Sheet!L8+GF_Balance_Sheet!L9)-(GF_Balance_Sheet!K8+GF_Balance_Sheet!K9)</f>
        <v/>
      </c>
      <c r="M37" s="24">
        <f>(GF_Balance_Sheet!M8+GF_Balance_Sheet!M9)-(GF_Balance_Sheet!L8+GF_Balance_Sheet!L9)</f>
        <v/>
      </c>
    </row>
    <row r="38">
      <c r="A38" s="13" t="inlineStr">
        <is>
          <t>Cash, beginning of year</t>
        </is>
      </c>
      <c r="B38" s="36" t="inlineStr"/>
      <c r="C38" s="36">
        <f>GF_Balance_Sheet!B8+GF_Balance_Sheet!B9</f>
        <v/>
      </c>
      <c r="D38" s="36">
        <f>GF_Balance_Sheet!C8+GF_Balance_Sheet!C9</f>
        <v/>
      </c>
      <c r="E38" s="36">
        <f>GF_Balance_Sheet!D8+GF_Balance_Sheet!D9</f>
        <v/>
      </c>
      <c r="F38" s="36">
        <f>GF_Balance_Sheet!E8+GF_Balance_Sheet!E9</f>
        <v/>
      </c>
      <c r="G38" s="36">
        <f>GF_Balance_Sheet!F8+GF_Balance_Sheet!F9</f>
        <v/>
      </c>
      <c r="H38" s="36">
        <f>GF_Balance_Sheet!G8+GF_Balance_Sheet!G9</f>
        <v/>
      </c>
      <c r="I38" s="36">
        <f>GF_Balance_Sheet!H8+GF_Balance_Sheet!H9</f>
        <v/>
      </c>
      <c r="J38" s="36">
        <f>GF_Balance_Sheet!I8+GF_Balance_Sheet!I9</f>
        <v/>
      </c>
      <c r="K38" s="36">
        <f>GF_Balance_Sheet!J8+GF_Balance_Sheet!J9</f>
        <v/>
      </c>
      <c r="L38" s="36">
        <f>GF_Balance_Sheet!K8+GF_Balance_Sheet!K9</f>
        <v/>
      </c>
      <c r="M38" s="36">
        <f>GF_Balance_Sheet!L8+GF_Balance_Sheet!L9</f>
        <v/>
      </c>
    </row>
    <row r="39">
      <c r="A39" s="12" t="inlineStr">
        <is>
          <t>Cash, end of year</t>
        </is>
      </c>
      <c r="B39" s="31" t="inlineStr"/>
      <c r="C39" s="31">
        <f>C38+C37</f>
        <v/>
      </c>
      <c r="D39" s="31">
        <f>D38+D37</f>
        <v/>
      </c>
      <c r="E39" s="31">
        <f>E38+E37</f>
        <v/>
      </c>
      <c r="F39" s="31">
        <f>F38+F37</f>
        <v/>
      </c>
      <c r="G39" s="31">
        <f>G38+G37</f>
        <v/>
      </c>
      <c r="H39" s="31">
        <f>H38+H37</f>
        <v/>
      </c>
      <c r="I39" s="31">
        <f>I38+I37</f>
        <v/>
      </c>
      <c r="J39" s="31">
        <f>J38+J37</f>
        <v/>
      </c>
      <c r="K39" s="31">
        <f>K38+K37</f>
        <v/>
      </c>
      <c r="L39" s="31">
        <f>L38+L37</f>
        <v/>
      </c>
      <c r="M39" s="31">
        <f>M38+M37</f>
        <v/>
      </c>
    </row>
    <row r="40">
      <c r="A40" s="2" t="n"/>
      <c r="B40" s="2" t="n"/>
      <c r="C40" s="2" t="n"/>
      <c r="D40" s="2" t="n"/>
      <c r="E40" s="2" t="n"/>
      <c r="F40" s="2" t="n"/>
      <c r="G40" s="2" t="n"/>
      <c r="H40" s="2" t="n"/>
      <c r="I40" s="2" t="n"/>
      <c r="J40" s="2" t="n"/>
      <c r="K40" s="2" t="n"/>
      <c r="L40" s="2" t="n"/>
      <c r="M40" s="2" t="n"/>
    </row>
    <row r="41">
      <c r="A41" s="13" t="inlineStr">
        <is>
          <t>Check: end cash vs. GF_Balance_Sheet (should be 0)</t>
        </is>
      </c>
      <c r="B41" s="22" t="inlineStr"/>
      <c r="C41" s="35">
        <f>C39-(GF_Balance_Sheet!C8+GF_Balance_Sheet!C9)</f>
        <v/>
      </c>
      <c r="D41" s="35">
        <f>D39-(GF_Balance_Sheet!D8+GF_Balance_Sheet!D9)</f>
        <v/>
      </c>
      <c r="E41" s="35">
        <f>E39-(GF_Balance_Sheet!E8+GF_Balance_Sheet!E9)</f>
        <v/>
      </c>
      <c r="F41" s="35">
        <f>F39-(GF_Balance_Sheet!F8+GF_Balance_Sheet!F9)</f>
        <v/>
      </c>
      <c r="G41" s="35">
        <f>G39-(GF_Balance_Sheet!G8+GF_Balance_Sheet!G9)</f>
        <v/>
      </c>
      <c r="H41" s="35">
        <f>H39-(GF_Balance_Sheet!H8+GF_Balance_Sheet!H9)</f>
        <v/>
      </c>
      <c r="I41" s="35">
        <f>I39-(GF_Balance_Sheet!I8+GF_Balance_Sheet!I9)</f>
        <v/>
      </c>
      <c r="J41" s="35">
        <f>J39-(GF_Balance_Sheet!J8+GF_Balance_Sheet!J9)</f>
        <v/>
      </c>
      <c r="K41" s="35">
        <f>K39-(GF_Balance_Sheet!K8+GF_Balance_Sheet!K9)</f>
        <v/>
      </c>
      <c r="L41" s="35">
        <f>L39-(GF_Balance_Sheet!L8+GF_Balance_Sheet!L9)</f>
        <v/>
      </c>
      <c r="M41" s="35">
        <f>M39-(GF_Balance_Sheet!M8+GF_Balance_Sheet!M9)</f>
        <v/>
      </c>
    </row>
    <row r="42">
      <c r="A42" s="13" t="inlineStr">
        <is>
          <t>Check: restatement line vs. GF_Operating_Statement restatement memo</t>
        </is>
      </c>
      <c r="B42" s="22" t="inlineStr"/>
      <c r="C42" s="35">
        <f>C35-GF_Operating_Statement!C51</f>
        <v/>
      </c>
      <c r="D42" s="35">
        <f>D35-GF_Operating_Statement!D51</f>
        <v/>
      </c>
      <c r="E42" s="35">
        <f>E35-GF_Operating_Statement!E51</f>
        <v/>
      </c>
      <c r="F42" s="35">
        <f>F35-GF_Operating_Statement!F51</f>
        <v/>
      </c>
      <c r="G42" s="35">
        <f>G35-GF_Operating_Statement!G51</f>
        <v/>
      </c>
      <c r="H42" s="35">
        <f>H35-GF_Operating_Statement!H51</f>
        <v/>
      </c>
      <c r="I42" s="35">
        <f>I35-GF_Operating_Statement!I51</f>
        <v/>
      </c>
      <c r="J42" s="35">
        <f>J35-GF_Operating_Statement!J51</f>
        <v/>
      </c>
      <c r="K42" s="35">
        <f>K35-GF_Operating_Statement!K51</f>
        <v/>
      </c>
      <c r="L42" s="35">
        <f>L35-GF_Operating_Statement!L51</f>
        <v/>
      </c>
      <c r="M42" s="35">
        <f>M35-GF_Operating_Statement!M51</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F3864"/>
    <outlinePr summaryBelow="1" summaryRight="1"/>
    <pageSetUpPr/>
  </sheetPr>
  <dimension ref="A1:L50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6" customWidth="1" min="10" max="10"/>
    <col width="36" customWidth="1" min="11" max="11"/>
  </cols>
  <sheetData>
    <row r="1">
      <c r="A1" s="1" t="inlineStr">
        <is>
          <t>City of El Cerrito - GENERAL FUND ONLY</t>
        </is>
      </c>
      <c r="B1" s="2" t="n"/>
      <c r="C1" s="2" t="n"/>
      <c r="D1" s="2" t="n"/>
      <c r="E1" s="2" t="n"/>
      <c r="F1" s="2" t="n"/>
      <c r="G1" s="2" t="n"/>
      <c r="H1" s="2" t="n"/>
      <c r="I1" s="2" t="n"/>
      <c r="J1" s="2" t="n"/>
      <c r="K1" s="2" t="n"/>
      <c r="L1" s="2" t="n"/>
    </row>
    <row r="2">
      <c r="A2" s="12" t="inlineStr">
        <is>
          <t>Budgetary comparison schedules by fiscal year (GASB 34/41 format with GASB 103 variance columns), $</t>
        </is>
      </c>
      <c r="B2" s="2" t="n"/>
      <c r="C2" s="2" t="n"/>
      <c r="D2" s="2" t="n"/>
      <c r="E2" s="2" t="n"/>
      <c r="F2" s="2" t="n"/>
      <c r="G2" s="2" t="n"/>
      <c r="H2" s="2" t="n"/>
      <c r="I2" s="2" t="n"/>
      <c r="J2" s="2" t="n"/>
      <c r="K2" s="12" t="inlineStr">
        <is>
          <t>Significance threshold - $</t>
        </is>
      </c>
      <c r="L2" s="37" t="n">
        <v>100000</v>
      </c>
    </row>
    <row r="3">
      <c r="A3" s="7" t="inlineStr">
        <is>
          <t>Columns B-F follow the required RSI layout; column G is supplementary. Positive (negative) = favorable (unfavorable). FY2025-26 block is UNAUDITED. All figures are SUMIFS on GF_Budget_Detail.</t>
        </is>
      </c>
      <c r="B3" s="2" t="n"/>
      <c r="C3" s="2" t="n"/>
      <c r="D3" s="2" t="n"/>
      <c r="E3" s="2" t="n"/>
      <c r="F3" s="2" t="n"/>
      <c r="G3" s="2" t="n"/>
      <c r="H3" s="2" t="n"/>
      <c r="I3" s="2" t="n"/>
      <c r="J3" s="2" t="n"/>
      <c r="K3" s="12" t="inlineStr">
        <is>
          <t>Significance threshold - % of final budget</t>
        </is>
      </c>
      <c r="L3" s="38" t="n">
        <v>0.1</v>
      </c>
    </row>
    <row r="4">
      <c r="A4" s="2" t="n"/>
      <c r="B4" s="2" t="n"/>
      <c r="C4" s="2" t="n"/>
      <c r="D4" s="2" t="n"/>
      <c r="E4" s="2" t="n"/>
      <c r="F4" s="2" t="n"/>
      <c r="G4" s="2" t="n"/>
      <c r="H4" s="2" t="n"/>
      <c r="I4" s="2" t="n"/>
      <c r="J4" s="2" t="n"/>
      <c r="K4" s="2" t="n"/>
      <c r="L4" s="2" t="n"/>
    </row>
    <row r="5">
      <c r="A5" s="16" t="inlineStr">
        <is>
          <t>FY2013-14 (year ended June 30, 2014)  -  Budgetary comparison schedule, General Fund  -  GAAP (modified accrual) budgetary basis</t>
        </is>
      </c>
      <c r="B5" s="39" t="n"/>
      <c r="C5" s="39" t="n"/>
      <c r="D5" s="39" t="n"/>
      <c r="E5" s="39" t="n"/>
      <c r="F5" s="39" t="n"/>
      <c r="G5" s="39" t="n"/>
      <c r="H5" s="39" t="n"/>
      <c r="I5" s="39" t="n"/>
      <c r="J5" s="40" t="n">
        <v>2014</v>
      </c>
      <c r="K5" s="2" t="n"/>
      <c r="L5" s="2" t="n"/>
    </row>
    <row r="6" ht="54" customHeight="1">
      <c r="A6" s="41" t="inlineStr">
        <is>
          <t>Category</t>
        </is>
      </c>
      <c r="B6" s="41" t="inlineStr">
        <is>
          <t>Budgeted amounts - Original</t>
        </is>
      </c>
      <c r="C6" s="41" t="inlineStr">
        <is>
          <t>Budgeted amounts - Final</t>
        </is>
      </c>
      <c r="D6" s="41" t="inlineStr">
        <is>
          <t>Actual amounts (budgetary basis)</t>
        </is>
      </c>
      <c r="E6" s="41" t="inlineStr">
        <is>
          <t>Variance: Original to Final budget, increase (decrease)</t>
        </is>
      </c>
      <c r="F6" s="41" t="inlineStr">
        <is>
          <t>Variance with Final budget, positive (negative)</t>
        </is>
      </c>
      <c r="G6" s="42" t="inlineStr">
        <is>
          <t>Variance with Original budget, positive (negative) [supplementary]</t>
        </is>
      </c>
      <c r="H6" s="41" t="inlineStr">
        <is>
          <t>Variance with Final budget %</t>
        </is>
      </c>
      <c r="I6" s="41" t="inlineStr">
        <is>
          <t>Significant variance? (GASB 103 note candidate)</t>
        </is>
      </c>
      <c r="J6" s="2" t="n"/>
      <c r="K6" s="2" t="n"/>
      <c r="L6" s="2" t="n"/>
    </row>
    <row r="7">
      <c r="A7" s="21" t="inlineStr">
        <is>
          <t>Property taxes</t>
        </is>
      </c>
      <c r="B7" s="36">
        <f>SUMIFS(GF_Budget_Detail!$E$5:$E$295,GF_Budget_Detail!$A$5:$A$295,$J$5,GF_Budget_Detail!$D$5:$D$295,"Property taxes")</f>
        <v/>
      </c>
      <c r="C7" s="36">
        <f>SUMIFS(GF_Budget_Detail!$F$5:$F$295,GF_Budget_Detail!$A$5:$A$295,$J$5,GF_Budget_Detail!$D$5:$D$295,"Property taxes")</f>
        <v/>
      </c>
      <c r="D7" s="36">
        <f>SUMIFS(GF_Budget_Detail!$G$5:$G$295,GF_Budget_Detail!$A$5:$A$295,$J$5,GF_Budget_Detail!$D$5:$D$295,"Property taxes")</f>
        <v/>
      </c>
      <c r="E7" s="22">
        <f>C7-B7</f>
        <v/>
      </c>
      <c r="F7" s="22">
        <f>(D7-C7)</f>
        <v/>
      </c>
      <c r="G7" s="43">
        <f>(D7-B7)</f>
        <v/>
      </c>
      <c r="H7" s="33">
        <f>IFERROR(F7/ABS(C7),0)</f>
        <v/>
      </c>
      <c r="I7" s="44">
        <f>IF(AND(ABS(F7)&gt;=$L$2,ABS(H7)&gt;=$L$3),"Explain","")</f>
        <v/>
      </c>
      <c r="J7" s="2" t="n"/>
      <c r="K7" s="2" t="n"/>
      <c r="L7" s="2" t="n"/>
    </row>
    <row r="8">
      <c r="A8" s="21" t="inlineStr">
        <is>
          <t>Taxes other than property</t>
        </is>
      </c>
      <c r="B8" s="36">
        <f>SUMIFS(GF_Budget_Detail!$E$5:$E$295,GF_Budget_Detail!$A$5:$A$295,$J$5,GF_Budget_Detail!$D$5:$D$295,"Taxes other than property")</f>
        <v/>
      </c>
      <c r="C8" s="36">
        <f>SUMIFS(GF_Budget_Detail!$F$5:$F$295,GF_Budget_Detail!$A$5:$A$295,$J$5,GF_Budget_Detail!$D$5:$D$295,"Taxes other than property")</f>
        <v/>
      </c>
      <c r="D8" s="36">
        <f>SUMIFS(GF_Budget_Detail!$G$5:$G$295,GF_Budget_Detail!$A$5:$A$295,$J$5,GF_Budget_Detail!$D$5:$D$295,"Taxes other than property")</f>
        <v/>
      </c>
      <c r="E8" s="22">
        <f>C8-B8</f>
        <v/>
      </c>
      <c r="F8" s="22">
        <f>(D8-C8)</f>
        <v/>
      </c>
      <c r="G8" s="43">
        <f>(D8-B8)</f>
        <v/>
      </c>
      <c r="H8" s="33">
        <f>IFERROR(F8/ABS(C8),0)</f>
        <v/>
      </c>
      <c r="I8" s="44">
        <f>IF(AND(ABS(F8)&gt;=$L$2,ABS(H8)&gt;=$L$3),"Explain","")</f>
        <v/>
      </c>
      <c r="J8" s="2" t="n"/>
      <c r="K8" s="2" t="n"/>
      <c r="L8" s="2" t="n"/>
    </row>
    <row r="9">
      <c r="A9" s="21" t="inlineStr">
        <is>
          <t>Taxes and assessments (combined)</t>
        </is>
      </c>
      <c r="B9" s="36">
        <f>SUMIFS(GF_Budget_Detail!$E$5:$E$295,GF_Budget_Detail!$A$5:$A$295,$J$5,GF_Budget_Detail!$D$5:$D$295,"Taxes and assessments (combined)")</f>
        <v/>
      </c>
      <c r="C9" s="36">
        <f>SUMIFS(GF_Budget_Detail!$F$5:$F$295,GF_Budget_Detail!$A$5:$A$295,$J$5,GF_Budget_Detail!$D$5:$D$295,"Taxes and assessments (combined)")</f>
        <v/>
      </c>
      <c r="D9" s="36">
        <f>SUMIFS(GF_Budget_Detail!$G$5:$G$295,GF_Budget_Detail!$A$5:$A$295,$J$5,GF_Budget_Detail!$D$5:$D$295,"Taxes and assessments (combined)")</f>
        <v/>
      </c>
      <c r="E9" s="22">
        <f>C9-B9</f>
        <v/>
      </c>
      <c r="F9" s="22">
        <f>(D9-C9)</f>
        <v/>
      </c>
      <c r="G9" s="43">
        <f>(D9-B9)</f>
        <v/>
      </c>
      <c r="H9" s="33">
        <f>IFERROR(F9/ABS(C9),0)</f>
        <v/>
      </c>
      <c r="I9" s="44">
        <f>IF(AND(ABS(F9)&gt;=$L$2,ABS(H9)&gt;=$L$3),"Explain","")</f>
        <v/>
      </c>
      <c r="J9" s="2" t="n"/>
      <c r="K9" s="2" t="n"/>
      <c r="L9" s="2" t="n"/>
    </row>
    <row r="10">
      <c r="A10" s="21" t="inlineStr">
        <is>
          <t>Licenses and permits</t>
        </is>
      </c>
      <c r="B10" s="36">
        <f>SUMIFS(GF_Budget_Detail!$E$5:$E$295,GF_Budget_Detail!$A$5:$A$295,$J$5,GF_Budget_Detail!$D$5:$D$295,"Licenses and permits")</f>
        <v/>
      </c>
      <c r="C10" s="36">
        <f>SUMIFS(GF_Budget_Detail!$F$5:$F$295,GF_Budget_Detail!$A$5:$A$295,$J$5,GF_Budget_Detail!$D$5:$D$295,"Licenses and permits")</f>
        <v/>
      </c>
      <c r="D10" s="36">
        <f>SUMIFS(GF_Budget_Detail!$G$5:$G$295,GF_Budget_Detail!$A$5:$A$295,$J$5,GF_Budget_Detail!$D$5:$D$295,"Licenses and permits")</f>
        <v/>
      </c>
      <c r="E10" s="22">
        <f>C10-B10</f>
        <v/>
      </c>
      <c r="F10" s="22">
        <f>(D10-C10)</f>
        <v/>
      </c>
      <c r="G10" s="43">
        <f>(D10-B10)</f>
        <v/>
      </c>
      <c r="H10" s="33">
        <f>IFERROR(F10/ABS(C10),0)</f>
        <v/>
      </c>
      <c r="I10" s="44">
        <f>IF(AND(ABS(F10)&gt;=$L$2,ABS(H10)&gt;=$L$3),"Explain","")</f>
        <v/>
      </c>
      <c r="J10" s="2" t="n"/>
      <c r="K10" s="2" t="n"/>
      <c r="L10" s="2" t="n"/>
    </row>
    <row r="11">
      <c r="A11" s="21" t="inlineStr">
        <is>
          <t>Fines and forfeitures</t>
        </is>
      </c>
      <c r="B11" s="36">
        <f>SUMIFS(GF_Budget_Detail!$E$5:$E$295,GF_Budget_Detail!$A$5:$A$295,$J$5,GF_Budget_Detail!$D$5:$D$295,"Fines and forfeitures")</f>
        <v/>
      </c>
      <c r="C11" s="36">
        <f>SUMIFS(GF_Budget_Detail!$F$5:$F$295,GF_Budget_Detail!$A$5:$A$295,$J$5,GF_Budget_Detail!$D$5:$D$295,"Fines and forfeitures")</f>
        <v/>
      </c>
      <c r="D11" s="36">
        <f>SUMIFS(GF_Budget_Detail!$G$5:$G$295,GF_Budget_Detail!$A$5:$A$295,$J$5,GF_Budget_Detail!$D$5:$D$295,"Fines and forfeitures")</f>
        <v/>
      </c>
      <c r="E11" s="22">
        <f>C11-B11</f>
        <v/>
      </c>
      <c r="F11" s="22">
        <f>(D11-C11)</f>
        <v/>
      </c>
      <c r="G11" s="43">
        <f>(D11-B11)</f>
        <v/>
      </c>
      <c r="H11" s="33">
        <f>IFERROR(F11/ABS(C11),0)</f>
        <v/>
      </c>
      <c r="I11" s="44">
        <f>IF(AND(ABS(F11)&gt;=$L$2,ABS(H11)&gt;=$L$3),"Explain","")</f>
        <v/>
      </c>
      <c r="J11" s="2" t="n"/>
      <c r="K11" s="2" t="n"/>
      <c r="L11" s="2" t="n"/>
    </row>
    <row r="12">
      <c r="A12" s="21" t="inlineStr">
        <is>
          <t>Use of money and property</t>
        </is>
      </c>
      <c r="B12" s="36">
        <f>SUMIFS(GF_Budget_Detail!$E$5:$E$295,GF_Budget_Detail!$A$5:$A$295,$J$5,GF_Budget_Detail!$D$5:$D$295,"Use of money and property")</f>
        <v/>
      </c>
      <c r="C12" s="36">
        <f>SUMIFS(GF_Budget_Detail!$F$5:$F$295,GF_Budget_Detail!$A$5:$A$295,$J$5,GF_Budget_Detail!$D$5:$D$295,"Use of money and property")</f>
        <v/>
      </c>
      <c r="D12" s="36">
        <f>SUMIFS(GF_Budget_Detail!$G$5:$G$295,GF_Budget_Detail!$A$5:$A$295,$J$5,GF_Budget_Detail!$D$5:$D$295,"Use of money and property")</f>
        <v/>
      </c>
      <c r="E12" s="22">
        <f>C12-B12</f>
        <v/>
      </c>
      <c r="F12" s="22">
        <f>(D12-C12)</f>
        <v/>
      </c>
      <c r="G12" s="43">
        <f>(D12-B12)</f>
        <v/>
      </c>
      <c r="H12" s="33">
        <f>IFERROR(F12/ABS(C12),0)</f>
        <v/>
      </c>
      <c r="I12" s="44">
        <f>IF(AND(ABS(F12)&gt;=$L$2,ABS(H12)&gt;=$L$3),"Explain","")</f>
        <v/>
      </c>
      <c r="J12" s="2" t="n"/>
      <c r="K12" s="2" t="n"/>
      <c r="L12" s="2" t="n"/>
    </row>
    <row r="13">
      <c r="A13" s="21" t="inlineStr">
        <is>
          <t>Intergovernmental</t>
        </is>
      </c>
      <c r="B13" s="36">
        <f>SUMIFS(GF_Budget_Detail!$E$5:$E$295,GF_Budget_Detail!$A$5:$A$295,$J$5,GF_Budget_Detail!$D$5:$D$295,"Intergovernmental")</f>
        <v/>
      </c>
      <c r="C13" s="36">
        <f>SUMIFS(GF_Budget_Detail!$F$5:$F$295,GF_Budget_Detail!$A$5:$A$295,$J$5,GF_Budget_Detail!$D$5:$D$295,"Intergovernmental")</f>
        <v/>
      </c>
      <c r="D13" s="36">
        <f>SUMIFS(GF_Budget_Detail!$G$5:$G$295,GF_Budget_Detail!$A$5:$A$295,$J$5,GF_Budget_Detail!$D$5:$D$295,"Intergovernmental")</f>
        <v/>
      </c>
      <c r="E13" s="22">
        <f>C13-B13</f>
        <v/>
      </c>
      <c r="F13" s="22">
        <f>(D13-C13)</f>
        <v/>
      </c>
      <c r="G13" s="43">
        <f>(D13-B13)</f>
        <v/>
      </c>
      <c r="H13" s="33">
        <f>IFERROR(F13/ABS(C13),0)</f>
        <v/>
      </c>
      <c r="I13" s="44">
        <f>IF(AND(ABS(F13)&gt;=$L$2,ABS(H13)&gt;=$L$3),"Explain","")</f>
        <v/>
      </c>
      <c r="J13" s="2" t="n"/>
      <c r="K13" s="2" t="n"/>
      <c r="L13" s="2" t="n"/>
    </row>
    <row r="14">
      <c r="A14" s="21" t="inlineStr">
        <is>
          <t>Charges for services</t>
        </is>
      </c>
      <c r="B14" s="36">
        <f>SUMIFS(GF_Budget_Detail!$E$5:$E$295,GF_Budget_Detail!$A$5:$A$295,$J$5,GF_Budget_Detail!$D$5:$D$295,"Charges for services")</f>
        <v/>
      </c>
      <c r="C14" s="36">
        <f>SUMIFS(GF_Budget_Detail!$F$5:$F$295,GF_Budget_Detail!$A$5:$A$295,$J$5,GF_Budget_Detail!$D$5:$D$295,"Charges for services")</f>
        <v/>
      </c>
      <c r="D14" s="36">
        <f>SUMIFS(GF_Budget_Detail!$G$5:$G$295,GF_Budget_Detail!$A$5:$A$295,$J$5,GF_Budget_Detail!$D$5:$D$295,"Charges for services")</f>
        <v/>
      </c>
      <c r="E14" s="22">
        <f>C14-B14</f>
        <v/>
      </c>
      <c r="F14" s="22">
        <f>(D14-C14)</f>
        <v/>
      </c>
      <c r="G14" s="43">
        <f>(D14-B14)</f>
        <v/>
      </c>
      <c r="H14" s="33">
        <f>IFERROR(F14/ABS(C14),0)</f>
        <v/>
      </c>
      <c r="I14" s="44">
        <f>IF(AND(ABS(F14)&gt;=$L$2,ABS(H14)&gt;=$L$3),"Explain","")</f>
        <v/>
      </c>
      <c r="J14" s="2" t="n"/>
      <c r="K14" s="2" t="n"/>
      <c r="L14" s="2" t="n"/>
    </row>
    <row r="15">
      <c r="A15" s="21" t="inlineStr">
        <is>
          <t>Other revenues</t>
        </is>
      </c>
      <c r="B15" s="36">
        <f>SUMIFS(GF_Budget_Detail!$E$5:$E$295,GF_Budget_Detail!$A$5:$A$295,$J$5,GF_Budget_Detail!$D$5:$D$295,"Other revenues")</f>
        <v/>
      </c>
      <c r="C15" s="36">
        <f>SUMIFS(GF_Budget_Detail!$F$5:$F$295,GF_Budget_Detail!$A$5:$A$295,$J$5,GF_Budget_Detail!$D$5:$D$295,"Other revenues")</f>
        <v/>
      </c>
      <c r="D15" s="36">
        <f>SUMIFS(GF_Budget_Detail!$G$5:$G$295,GF_Budget_Detail!$A$5:$A$295,$J$5,GF_Budget_Detail!$D$5:$D$295,"Other revenues")</f>
        <v/>
      </c>
      <c r="E15" s="22">
        <f>C15-B15</f>
        <v/>
      </c>
      <c r="F15" s="22">
        <f>(D15-C15)</f>
        <v/>
      </c>
      <c r="G15" s="43">
        <f>(D15-B15)</f>
        <v/>
      </c>
      <c r="H15" s="33">
        <f>IFERROR(F15/ABS(C15),0)</f>
        <v/>
      </c>
      <c r="I15" s="44">
        <f>IF(AND(ABS(F15)&gt;=$L$2,ABS(H15)&gt;=$L$3),"Explain","")</f>
        <v/>
      </c>
      <c r="J15" s="2" t="n"/>
      <c r="K15" s="2" t="n"/>
      <c r="L15" s="2" t="n"/>
    </row>
    <row r="16">
      <c r="A16" s="12" t="inlineStr">
        <is>
          <t>Total revenues</t>
        </is>
      </c>
      <c r="B16" s="24">
        <f>SUM(B7:B15)</f>
        <v/>
      </c>
      <c r="C16" s="24">
        <f>SUM(C7:C15)</f>
        <v/>
      </c>
      <c r="D16" s="24">
        <f>SUM(D7:D15)</f>
        <v/>
      </c>
      <c r="E16" s="24">
        <f>C16-B16</f>
        <v/>
      </c>
      <c r="F16" s="24">
        <f>(D16-C16)</f>
        <v/>
      </c>
      <c r="G16" s="24">
        <f>(D16-B16)</f>
        <v/>
      </c>
      <c r="H16" s="45">
        <f>IFERROR(F16/ABS(C16),0)</f>
        <v/>
      </c>
      <c r="I16" s="46">
        <f>IF(AND(ABS(F16)&gt;=$L$2,ABS(H16)&gt;=$L$3),"Explain","")</f>
        <v/>
      </c>
      <c r="J16" s="2" t="n"/>
      <c r="K16" s="2" t="n"/>
      <c r="L16" s="2" t="n"/>
    </row>
    <row r="17">
      <c r="A17" s="2" t="n"/>
      <c r="B17" s="2" t="n"/>
      <c r="C17" s="2" t="n"/>
      <c r="D17" s="2" t="n"/>
      <c r="E17" s="2" t="n"/>
      <c r="F17" s="2" t="n"/>
      <c r="G17" s="2" t="n"/>
      <c r="H17" s="2" t="n"/>
      <c r="I17" s="2" t="n"/>
      <c r="J17" s="2" t="n"/>
      <c r="K17" s="2" t="n"/>
      <c r="L17" s="2" t="n"/>
    </row>
    <row r="18">
      <c r="A18" s="21" t="inlineStr">
        <is>
          <t>General government</t>
        </is>
      </c>
      <c r="B18" s="36">
        <f>SUMIFS(GF_Budget_Detail!$E$5:$E$295,GF_Budget_Detail!$A$5:$A$295,$J$5,GF_Budget_Detail!$D$5:$D$295,"General government")</f>
        <v/>
      </c>
      <c r="C18" s="36">
        <f>SUMIFS(GF_Budget_Detail!$F$5:$F$295,GF_Budget_Detail!$A$5:$A$295,$J$5,GF_Budget_Detail!$D$5:$D$295,"General government")</f>
        <v/>
      </c>
      <c r="D18" s="36">
        <f>SUMIFS(GF_Budget_Detail!$G$5:$G$295,GF_Budget_Detail!$A$5:$A$295,$J$5,GF_Budget_Detail!$D$5:$D$295,"General government")</f>
        <v/>
      </c>
      <c r="E18" s="22">
        <f>C18-B18</f>
        <v/>
      </c>
      <c r="F18" s="22">
        <f>-(D18-C18)</f>
        <v/>
      </c>
      <c r="G18" s="43">
        <f>-(D18-B18)</f>
        <v/>
      </c>
      <c r="H18" s="33">
        <f>IFERROR(F18/ABS(C18),0)</f>
        <v/>
      </c>
      <c r="I18" s="44">
        <f>IF(AND(ABS(F18)&gt;=$L$2,ABS(H18)&gt;=$L$3),"Explain","")</f>
        <v/>
      </c>
      <c r="J18" s="2" t="n"/>
      <c r="K18" s="2" t="n"/>
      <c r="L18" s="2" t="n"/>
    </row>
    <row r="19">
      <c r="A19" s="21" t="inlineStr">
        <is>
          <t>Public works</t>
        </is>
      </c>
      <c r="B19" s="36">
        <f>SUMIFS(GF_Budget_Detail!$E$5:$E$295,GF_Budget_Detail!$A$5:$A$295,$J$5,GF_Budget_Detail!$D$5:$D$295,"Public works")</f>
        <v/>
      </c>
      <c r="C19" s="36">
        <f>SUMIFS(GF_Budget_Detail!$F$5:$F$295,GF_Budget_Detail!$A$5:$A$295,$J$5,GF_Budget_Detail!$D$5:$D$295,"Public works")</f>
        <v/>
      </c>
      <c r="D19" s="36">
        <f>SUMIFS(GF_Budget_Detail!$G$5:$G$295,GF_Budget_Detail!$A$5:$A$295,$J$5,GF_Budget_Detail!$D$5:$D$295,"Public works")</f>
        <v/>
      </c>
      <c r="E19" s="22">
        <f>C19-B19</f>
        <v/>
      </c>
      <c r="F19" s="22">
        <f>-(D19-C19)</f>
        <v/>
      </c>
      <c r="G19" s="43">
        <f>-(D19-B19)</f>
        <v/>
      </c>
      <c r="H19" s="33">
        <f>IFERROR(F19/ABS(C19),0)</f>
        <v/>
      </c>
      <c r="I19" s="44">
        <f>IF(AND(ABS(F19)&gt;=$L$2,ABS(H19)&gt;=$L$3),"Explain","")</f>
        <v/>
      </c>
      <c r="J19" s="2" t="n"/>
      <c r="K19" s="2" t="n"/>
      <c r="L19" s="2" t="n"/>
    </row>
    <row r="20">
      <c r="A20" s="21" t="inlineStr">
        <is>
          <t>Recreation</t>
        </is>
      </c>
      <c r="B20" s="36">
        <f>SUMIFS(GF_Budget_Detail!$E$5:$E$295,GF_Budget_Detail!$A$5:$A$295,$J$5,GF_Budget_Detail!$D$5:$D$295,"Recreation")</f>
        <v/>
      </c>
      <c r="C20" s="36">
        <f>SUMIFS(GF_Budget_Detail!$F$5:$F$295,GF_Budget_Detail!$A$5:$A$295,$J$5,GF_Budget_Detail!$D$5:$D$295,"Recreation")</f>
        <v/>
      </c>
      <c r="D20" s="36">
        <f>SUMIFS(GF_Budget_Detail!$G$5:$G$295,GF_Budget_Detail!$A$5:$A$295,$J$5,GF_Budget_Detail!$D$5:$D$295,"Recreation")</f>
        <v/>
      </c>
      <c r="E20" s="22">
        <f>C20-B20</f>
        <v/>
      </c>
      <c r="F20" s="22">
        <f>-(D20-C20)</f>
        <v/>
      </c>
      <c r="G20" s="43">
        <f>-(D20-B20)</f>
        <v/>
      </c>
      <c r="H20" s="33">
        <f>IFERROR(F20/ABS(C20),0)</f>
        <v/>
      </c>
      <c r="I20" s="44">
        <f>IF(AND(ABS(F20)&gt;=$L$2,ABS(H20)&gt;=$L$3),"Explain","")</f>
        <v/>
      </c>
      <c r="J20" s="2" t="n"/>
      <c r="K20" s="2" t="n"/>
      <c r="L20" s="2" t="n"/>
    </row>
    <row r="21">
      <c r="A21" s="21" t="inlineStr">
        <is>
          <t>Community development</t>
        </is>
      </c>
      <c r="B21" s="36">
        <f>SUMIFS(GF_Budget_Detail!$E$5:$E$295,GF_Budget_Detail!$A$5:$A$295,$J$5,GF_Budget_Detail!$D$5:$D$295,"Community development")</f>
        <v/>
      </c>
      <c r="C21" s="36">
        <f>SUMIFS(GF_Budget_Detail!$F$5:$F$295,GF_Budget_Detail!$A$5:$A$295,$J$5,GF_Budget_Detail!$D$5:$D$295,"Community development")</f>
        <v/>
      </c>
      <c r="D21" s="36">
        <f>SUMIFS(GF_Budget_Detail!$G$5:$G$295,GF_Budget_Detail!$A$5:$A$295,$J$5,GF_Budget_Detail!$D$5:$D$295,"Community development")</f>
        <v/>
      </c>
      <c r="E21" s="22">
        <f>C21-B21</f>
        <v/>
      </c>
      <c r="F21" s="22">
        <f>-(D21-C21)</f>
        <v/>
      </c>
      <c r="G21" s="43">
        <f>-(D21-B21)</f>
        <v/>
      </c>
      <c r="H21" s="33">
        <f>IFERROR(F21/ABS(C21),0)</f>
        <v/>
      </c>
      <c r="I21" s="44">
        <f>IF(AND(ABS(F21)&gt;=$L$2,ABS(H21)&gt;=$L$3),"Explain","")</f>
        <v/>
      </c>
      <c r="J21" s="2" t="n"/>
      <c r="K21" s="2" t="n"/>
      <c r="L21" s="2" t="n"/>
    </row>
    <row r="22">
      <c r="A22" s="21" t="inlineStr">
        <is>
          <t>Public safety - Police</t>
        </is>
      </c>
      <c r="B22" s="36">
        <f>SUMIFS(GF_Budget_Detail!$E$5:$E$295,GF_Budget_Detail!$A$5:$A$295,$J$5,GF_Budget_Detail!$D$5:$D$295,"Public safety - Police")</f>
        <v/>
      </c>
      <c r="C22" s="36">
        <f>SUMIFS(GF_Budget_Detail!$F$5:$F$295,GF_Budget_Detail!$A$5:$A$295,$J$5,GF_Budget_Detail!$D$5:$D$295,"Public safety - Police")</f>
        <v/>
      </c>
      <c r="D22" s="36">
        <f>SUMIFS(GF_Budget_Detail!$G$5:$G$295,GF_Budget_Detail!$A$5:$A$295,$J$5,GF_Budget_Detail!$D$5:$D$295,"Public safety - Police")</f>
        <v/>
      </c>
      <c r="E22" s="22">
        <f>C22-B22</f>
        <v/>
      </c>
      <c r="F22" s="22">
        <f>-(D22-C22)</f>
        <v/>
      </c>
      <c r="G22" s="43">
        <f>-(D22-B22)</f>
        <v/>
      </c>
      <c r="H22" s="33">
        <f>IFERROR(F22/ABS(C22),0)</f>
        <v/>
      </c>
      <c r="I22" s="44">
        <f>IF(AND(ABS(F22)&gt;=$L$2,ABS(H22)&gt;=$L$3),"Explain","")</f>
        <v/>
      </c>
      <c r="J22" s="2" t="n"/>
      <c r="K22" s="2" t="n"/>
      <c r="L22" s="2" t="n"/>
    </row>
    <row r="23">
      <c r="A23" s="21" t="inlineStr">
        <is>
          <t>Public safety - Fire</t>
        </is>
      </c>
      <c r="B23" s="36">
        <f>SUMIFS(GF_Budget_Detail!$E$5:$E$295,GF_Budget_Detail!$A$5:$A$295,$J$5,GF_Budget_Detail!$D$5:$D$295,"Public safety - Fire")</f>
        <v/>
      </c>
      <c r="C23" s="36">
        <f>SUMIFS(GF_Budget_Detail!$F$5:$F$295,GF_Budget_Detail!$A$5:$A$295,$J$5,GF_Budget_Detail!$D$5:$D$295,"Public safety - Fire")</f>
        <v/>
      </c>
      <c r="D23" s="36">
        <f>SUMIFS(GF_Budget_Detail!$G$5:$G$295,GF_Budget_Detail!$A$5:$A$295,$J$5,GF_Budget_Detail!$D$5:$D$295,"Public safety - Fire")</f>
        <v/>
      </c>
      <c r="E23" s="22">
        <f>C23-B23</f>
        <v/>
      </c>
      <c r="F23" s="22">
        <f>-(D23-C23)</f>
        <v/>
      </c>
      <c r="G23" s="43">
        <f>-(D23-B23)</f>
        <v/>
      </c>
      <c r="H23" s="33">
        <f>IFERROR(F23/ABS(C23),0)</f>
        <v/>
      </c>
      <c r="I23" s="44">
        <f>IF(AND(ABS(F23)&gt;=$L$2,ABS(H23)&gt;=$L$3),"Explain","")</f>
        <v/>
      </c>
      <c r="J23" s="2" t="n"/>
      <c r="K23" s="2" t="n"/>
      <c r="L23" s="2" t="n"/>
    </row>
    <row r="24">
      <c r="A24" s="21" t="inlineStr">
        <is>
          <t>Public safety (combined)</t>
        </is>
      </c>
      <c r="B24" s="36">
        <f>SUMIFS(GF_Budget_Detail!$E$5:$E$295,GF_Budget_Detail!$A$5:$A$295,$J$5,GF_Budget_Detail!$D$5:$D$295,"Public safety (combined)")</f>
        <v/>
      </c>
      <c r="C24" s="36">
        <f>SUMIFS(GF_Budget_Detail!$F$5:$F$295,GF_Budget_Detail!$A$5:$A$295,$J$5,GF_Budget_Detail!$D$5:$D$295,"Public safety (combined)")</f>
        <v/>
      </c>
      <c r="D24" s="36">
        <f>SUMIFS(GF_Budget_Detail!$G$5:$G$295,GF_Budget_Detail!$A$5:$A$295,$J$5,GF_Budget_Detail!$D$5:$D$295,"Public safety (combined)")</f>
        <v/>
      </c>
      <c r="E24" s="22">
        <f>C24-B24</f>
        <v/>
      </c>
      <c r="F24" s="22">
        <f>-(D24-C24)</f>
        <v/>
      </c>
      <c r="G24" s="43">
        <f>-(D24-B24)</f>
        <v/>
      </c>
      <c r="H24" s="33">
        <f>IFERROR(F24/ABS(C24),0)</f>
        <v/>
      </c>
      <c r="I24" s="44">
        <f>IF(AND(ABS(F24)&gt;=$L$2,ABS(H24)&gt;=$L$3),"Explain","")</f>
        <v/>
      </c>
      <c r="J24" s="2" t="n"/>
      <c r="K24" s="2" t="n"/>
      <c r="L24" s="2" t="n"/>
    </row>
    <row r="25">
      <c r="A25" s="21" t="inlineStr">
        <is>
          <t>Payment of sales tax to City of Richmond</t>
        </is>
      </c>
      <c r="B25" s="36">
        <f>SUMIFS(GF_Budget_Detail!$E$5:$E$295,GF_Budget_Detail!$A$5:$A$295,$J$5,GF_Budget_Detail!$D$5:$D$295,"Payment of sales tax to City of Richmond")</f>
        <v/>
      </c>
      <c r="C25" s="36">
        <f>SUMIFS(GF_Budget_Detail!$F$5:$F$295,GF_Budget_Detail!$A$5:$A$295,$J$5,GF_Budget_Detail!$D$5:$D$295,"Payment of sales tax to City of Richmond")</f>
        <v/>
      </c>
      <c r="D25" s="36">
        <f>SUMIFS(GF_Budget_Detail!$G$5:$G$295,GF_Budget_Detail!$A$5:$A$295,$J$5,GF_Budget_Detail!$D$5:$D$295,"Payment of sales tax to City of Richmond")</f>
        <v/>
      </c>
      <c r="E25" s="22">
        <f>C25-B25</f>
        <v/>
      </c>
      <c r="F25" s="22">
        <f>-(D25-C25)</f>
        <v/>
      </c>
      <c r="G25" s="43">
        <f>-(D25-B25)</f>
        <v/>
      </c>
      <c r="H25" s="33">
        <f>IFERROR(F25/ABS(C25),0)</f>
        <v/>
      </c>
      <c r="I25" s="44">
        <f>IF(AND(ABS(F25)&gt;=$L$2,ABS(H25)&gt;=$L$3),"Explain","")</f>
        <v/>
      </c>
      <c r="J25" s="2" t="n"/>
      <c r="K25" s="2" t="n"/>
      <c r="L25" s="2" t="n"/>
    </row>
    <row r="26">
      <c r="A26" s="21" t="inlineStr">
        <is>
          <t>Capital outlay</t>
        </is>
      </c>
      <c r="B26" s="36">
        <f>SUMIFS(GF_Budget_Detail!$E$5:$E$295,GF_Budget_Detail!$A$5:$A$295,$J$5,GF_Budget_Detail!$D$5:$D$295,"Capital outlay")</f>
        <v/>
      </c>
      <c r="C26" s="36">
        <f>SUMIFS(GF_Budget_Detail!$F$5:$F$295,GF_Budget_Detail!$A$5:$A$295,$J$5,GF_Budget_Detail!$D$5:$D$295,"Capital outlay")</f>
        <v/>
      </c>
      <c r="D26" s="36">
        <f>SUMIFS(GF_Budget_Detail!$G$5:$G$295,GF_Budget_Detail!$A$5:$A$295,$J$5,GF_Budget_Detail!$D$5:$D$295,"Capital outlay")</f>
        <v/>
      </c>
      <c r="E26" s="22">
        <f>C26-B26</f>
        <v/>
      </c>
      <c r="F26" s="22">
        <f>-(D26-C26)</f>
        <v/>
      </c>
      <c r="G26" s="43">
        <f>-(D26-B26)</f>
        <v/>
      </c>
      <c r="H26" s="33">
        <f>IFERROR(F26/ABS(C26),0)</f>
        <v/>
      </c>
      <c r="I26" s="44">
        <f>IF(AND(ABS(F26)&gt;=$L$2,ABS(H26)&gt;=$L$3),"Explain","")</f>
        <v/>
      </c>
      <c r="J26" s="2" t="n"/>
      <c r="K26" s="2" t="n"/>
      <c r="L26" s="2" t="n"/>
    </row>
    <row r="27">
      <c r="A27" s="21" t="inlineStr">
        <is>
          <t>Debt service - principal</t>
        </is>
      </c>
      <c r="B27" s="36">
        <f>SUMIFS(GF_Budget_Detail!$E$5:$E$295,GF_Budget_Detail!$A$5:$A$295,$J$5,GF_Budget_Detail!$D$5:$D$295,"Debt service - principal")</f>
        <v/>
      </c>
      <c r="C27" s="36">
        <f>SUMIFS(GF_Budget_Detail!$F$5:$F$295,GF_Budget_Detail!$A$5:$A$295,$J$5,GF_Budget_Detail!$D$5:$D$295,"Debt service - principal")</f>
        <v/>
      </c>
      <c r="D27" s="36">
        <f>SUMIFS(GF_Budget_Detail!$G$5:$G$295,GF_Budget_Detail!$A$5:$A$295,$J$5,GF_Budget_Detail!$D$5:$D$295,"Debt service - principal")</f>
        <v/>
      </c>
      <c r="E27" s="22">
        <f>C27-B27</f>
        <v/>
      </c>
      <c r="F27" s="22">
        <f>-(D27-C27)</f>
        <v/>
      </c>
      <c r="G27" s="43">
        <f>-(D27-B27)</f>
        <v/>
      </c>
      <c r="H27" s="33">
        <f>IFERROR(F27/ABS(C27),0)</f>
        <v/>
      </c>
      <c r="I27" s="44">
        <f>IF(AND(ABS(F27)&gt;=$L$2,ABS(H27)&gt;=$L$3),"Explain","")</f>
        <v/>
      </c>
      <c r="J27" s="2" t="n"/>
      <c r="K27" s="2" t="n"/>
      <c r="L27" s="2" t="n"/>
    </row>
    <row r="28">
      <c r="A28" s="21" t="inlineStr">
        <is>
          <t>Debt service - interest</t>
        </is>
      </c>
      <c r="B28" s="36">
        <f>SUMIFS(GF_Budget_Detail!$E$5:$E$295,GF_Budget_Detail!$A$5:$A$295,$J$5,GF_Budget_Detail!$D$5:$D$295,"Debt service - interest")</f>
        <v/>
      </c>
      <c r="C28" s="36">
        <f>SUMIFS(GF_Budget_Detail!$F$5:$F$295,GF_Budget_Detail!$A$5:$A$295,$J$5,GF_Budget_Detail!$D$5:$D$295,"Debt service - interest")</f>
        <v/>
      </c>
      <c r="D28" s="36">
        <f>SUMIFS(GF_Budget_Detail!$G$5:$G$295,GF_Budget_Detail!$A$5:$A$295,$J$5,GF_Budget_Detail!$D$5:$D$295,"Debt service - interest")</f>
        <v/>
      </c>
      <c r="E28" s="22">
        <f>C28-B28</f>
        <v/>
      </c>
      <c r="F28" s="22">
        <f>-(D28-C28)</f>
        <v/>
      </c>
      <c r="G28" s="43">
        <f>-(D28-B28)</f>
        <v/>
      </c>
      <c r="H28" s="33">
        <f>IFERROR(F28/ABS(C28),0)</f>
        <v/>
      </c>
      <c r="I28" s="44">
        <f>IF(AND(ABS(F28)&gt;=$L$2,ABS(H28)&gt;=$L$3),"Explain","")</f>
        <v/>
      </c>
      <c r="J28" s="2" t="n"/>
      <c r="K28" s="2" t="n"/>
      <c r="L28" s="2" t="n"/>
    </row>
    <row r="29">
      <c r="A29" s="21" t="inlineStr">
        <is>
          <t>Non-departmental (budget-report basis)</t>
        </is>
      </c>
      <c r="B29" s="36">
        <f>SUMIFS(GF_Budget_Detail!$E$5:$E$295,GF_Budget_Detail!$A$5:$A$295,$J$5,GF_Budget_Detail!$D$5:$D$295,"Non-departmental (budget-report basis)")</f>
        <v/>
      </c>
      <c r="C29" s="36">
        <f>SUMIFS(GF_Budget_Detail!$F$5:$F$295,GF_Budget_Detail!$A$5:$A$295,$J$5,GF_Budget_Detail!$D$5:$D$295,"Non-departmental (budget-report basis)")</f>
        <v/>
      </c>
      <c r="D29" s="36">
        <f>SUMIFS(GF_Budget_Detail!$G$5:$G$295,GF_Budget_Detail!$A$5:$A$295,$J$5,GF_Budget_Detail!$D$5:$D$295,"Non-departmental (budget-report basis)")</f>
        <v/>
      </c>
      <c r="E29" s="22">
        <f>C29-B29</f>
        <v/>
      </c>
      <c r="F29" s="22">
        <f>-(D29-C29)</f>
        <v/>
      </c>
      <c r="G29" s="43">
        <f>-(D29-B29)</f>
        <v/>
      </c>
      <c r="H29" s="33">
        <f>IFERROR(F29/ABS(C29),0)</f>
        <v/>
      </c>
      <c r="I29" s="44">
        <f>IF(AND(ABS(F29)&gt;=$L$2,ABS(H29)&gt;=$L$3),"Explain","")</f>
        <v/>
      </c>
      <c r="J29" s="2" t="n"/>
      <c r="K29" s="2" t="n"/>
      <c r="L29" s="2" t="n"/>
    </row>
    <row r="30">
      <c r="A30" s="21" t="inlineStr">
        <is>
          <t>Original budget not itemized by department</t>
        </is>
      </c>
      <c r="B30" s="36">
        <f>SUMIFS(GF_Budget_Detail!$E$5:$E$295,GF_Budget_Detail!$A$5:$A$295,$J$5,GF_Budget_Detail!$D$5:$D$295,"Original budget not itemized by department")</f>
        <v/>
      </c>
      <c r="C30" s="36">
        <f>SUMIFS(GF_Budget_Detail!$F$5:$F$295,GF_Budget_Detail!$A$5:$A$295,$J$5,GF_Budget_Detail!$D$5:$D$295,"Original budget not itemized by department")</f>
        <v/>
      </c>
      <c r="D30" s="36">
        <f>SUMIFS(GF_Budget_Detail!$G$5:$G$295,GF_Budget_Detail!$A$5:$A$295,$J$5,GF_Budget_Detail!$D$5:$D$295,"Original budget not itemized by department")</f>
        <v/>
      </c>
      <c r="E30" s="22">
        <f>C30-B30</f>
        <v/>
      </c>
      <c r="F30" s="22">
        <f>-(D30-C30)</f>
        <v/>
      </c>
      <c r="G30" s="43">
        <f>-(D30-B30)</f>
        <v/>
      </c>
      <c r="H30" s="33">
        <f>IFERROR(F30/ABS(C30),0)</f>
        <v/>
      </c>
      <c r="I30" s="44">
        <f>IF(AND(ABS(F30)&gt;=$L$2,ABS(H30)&gt;=$L$3),"Explain","")</f>
        <v/>
      </c>
      <c r="J30" s="2" t="n"/>
      <c r="K30" s="2" t="n"/>
      <c r="L30" s="2" t="n"/>
    </row>
    <row r="31">
      <c r="A31" s="12" t="inlineStr">
        <is>
          <t>Total expenditures</t>
        </is>
      </c>
      <c r="B31" s="24">
        <f>SUM(B18:B30)</f>
        <v/>
      </c>
      <c r="C31" s="24">
        <f>SUM(C18:C30)</f>
        <v/>
      </c>
      <c r="D31" s="24">
        <f>SUM(D18:D30)</f>
        <v/>
      </c>
      <c r="E31" s="24">
        <f>C31-B31</f>
        <v/>
      </c>
      <c r="F31" s="24">
        <f>-(D31-C31)</f>
        <v/>
      </c>
      <c r="G31" s="24">
        <f>-(D31-B31)</f>
        <v/>
      </c>
      <c r="H31" s="45">
        <f>IFERROR(F31/ABS(C31),0)</f>
        <v/>
      </c>
      <c r="I31" s="46">
        <f>IF(AND(ABS(F31)&gt;=$L$2,ABS(H31)&gt;=$L$3),"Explain","")</f>
        <v/>
      </c>
      <c r="J31" s="2" t="n"/>
      <c r="K31" s="2" t="n"/>
      <c r="L31" s="2" t="n"/>
    </row>
    <row r="32">
      <c r="A32" s="2" t="n"/>
      <c r="B32" s="2" t="n"/>
      <c r="C32" s="2" t="n"/>
      <c r="D32" s="2" t="n"/>
      <c r="E32" s="2" t="n"/>
      <c r="F32" s="2" t="n"/>
      <c r="G32" s="2" t="n"/>
      <c r="H32" s="2" t="n"/>
      <c r="I32" s="2" t="n"/>
      <c r="J32" s="2" t="n"/>
      <c r="K32" s="2" t="n"/>
      <c r="L32" s="2" t="n"/>
    </row>
    <row r="33">
      <c r="A33" s="21" t="inlineStr">
        <is>
          <t>Transfers in</t>
        </is>
      </c>
      <c r="B33" s="36">
        <f>SUMIFS(GF_Budget_Detail!$E$5:$E$295,GF_Budget_Detail!$A$5:$A$295,$J$5,GF_Budget_Detail!$D$5:$D$295,"Transfers in")</f>
        <v/>
      </c>
      <c r="C33" s="36">
        <f>SUMIFS(GF_Budget_Detail!$F$5:$F$295,GF_Budget_Detail!$A$5:$A$295,$J$5,GF_Budget_Detail!$D$5:$D$295,"Transfers in")</f>
        <v/>
      </c>
      <c r="D33" s="36">
        <f>SUMIFS(GF_Budget_Detail!$G$5:$G$295,GF_Budget_Detail!$A$5:$A$295,$J$5,GF_Budget_Detail!$D$5:$D$295,"Transfers in")</f>
        <v/>
      </c>
      <c r="E33" s="22">
        <f>C33-B33</f>
        <v/>
      </c>
      <c r="F33" s="22">
        <f>(D33-C33)</f>
        <v/>
      </c>
      <c r="G33" s="43">
        <f>(D33-B33)</f>
        <v/>
      </c>
      <c r="H33" s="33">
        <f>IFERROR(F33/ABS(C33),0)</f>
        <v/>
      </c>
      <c r="I33" s="44">
        <f>IF(AND(ABS(F33)&gt;=$L$2,ABS(H33)&gt;=$L$3),"Explain","")</f>
        <v/>
      </c>
      <c r="J33" s="2" t="n"/>
      <c r="K33" s="2" t="n"/>
      <c r="L33" s="2" t="n"/>
    </row>
    <row r="34">
      <c r="A34" s="21" t="inlineStr">
        <is>
          <t>Transfers out</t>
        </is>
      </c>
      <c r="B34" s="36">
        <f>SUMIFS(GF_Budget_Detail!$E$5:$E$295,GF_Budget_Detail!$A$5:$A$295,$J$5,GF_Budget_Detail!$D$5:$D$295,"Transfers out")</f>
        <v/>
      </c>
      <c r="C34" s="36">
        <f>SUMIFS(GF_Budget_Detail!$F$5:$F$295,GF_Budget_Detail!$A$5:$A$295,$J$5,GF_Budget_Detail!$D$5:$D$295,"Transfers out")</f>
        <v/>
      </c>
      <c r="D34" s="36">
        <f>SUMIFS(GF_Budget_Detail!$G$5:$G$295,GF_Budget_Detail!$A$5:$A$295,$J$5,GF_Budget_Detail!$D$5:$D$295,"Transfers out")</f>
        <v/>
      </c>
      <c r="E34" s="22">
        <f>C34-B34</f>
        <v/>
      </c>
      <c r="F34" s="22">
        <f>(D34-C34)</f>
        <v/>
      </c>
      <c r="G34" s="43">
        <f>(D34-B34)</f>
        <v/>
      </c>
      <c r="H34" s="33">
        <f>IFERROR(F34/ABS(C34),0)</f>
        <v/>
      </c>
      <c r="I34" s="44">
        <f>IF(AND(ABS(F34)&gt;=$L$2,ABS(H34)&gt;=$L$3),"Explain","")</f>
        <v/>
      </c>
      <c r="J34" s="2" t="n"/>
      <c r="K34" s="2" t="n"/>
      <c r="L34" s="2" t="n"/>
    </row>
    <row r="35">
      <c r="A35" s="21" t="inlineStr">
        <is>
          <t>Debt / lease financing proceeds</t>
        </is>
      </c>
      <c r="B35" s="36">
        <f>SUMIFS(GF_Budget_Detail!$E$5:$E$295,GF_Budget_Detail!$A$5:$A$295,$J$5,GF_Budget_Detail!$D$5:$D$295,"Debt / lease financing proceeds")</f>
        <v/>
      </c>
      <c r="C35" s="36">
        <f>SUMIFS(GF_Budget_Detail!$F$5:$F$295,GF_Budget_Detail!$A$5:$A$295,$J$5,GF_Budget_Detail!$D$5:$D$295,"Debt / lease financing proceeds")</f>
        <v/>
      </c>
      <c r="D35" s="36">
        <f>SUMIFS(GF_Budget_Detail!$G$5:$G$295,GF_Budget_Detail!$A$5:$A$295,$J$5,GF_Budget_Detail!$D$5:$D$295,"Debt / lease financing proceeds")</f>
        <v/>
      </c>
      <c r="E35" s="22">
        <f>C35-B35</f>
        <v/>
      </c>
      <c r="F35" s="22">
        <f>(D35-C35)</f>
        <v/>
      </c>
      <c r="G35" s="43">
        <f>(D35-B35)</f>
        <v/>
      </c>
      <c r="H35" s="33">
        <f>IFERROR(F35/ABS(C35),0)</f>
        <v/>
      </c>
      <c r="I35" s="44">
        <f>IF(AND(ABS(F35)&gt;=$L$2,ABS(H35)&gt;=$L$3),"Explain","")</f>
        <v/>
      </c>
      <c r="J35" s="2" t="n"/>
      <c r="K35" s="2" t="n"/>
      <c r="L35" s="2" t="n"/>
    </row>
    <row r="36">
      <c r="A36" s="21" t="inlineStr">
        <is>
          <t>Proceeds from sale of capital assets</t>
        </is>
      </c>
      <c r="B36" s="36">
        <f>SUMIFS(GF_Budget_Detail!$E$5:$E$295,GF_Budget_Detail!$A$5:$A$295,$J$5,GF_Budget_Detail!$D$5:$D$295,"Proceeds from sale of capital assets")</f>
        <v/>
      </c>
      <c r="C36" s="36">
        <f>SUMIFS(GF_Budget_Detail!$F$5:$F$295,GF_Budget_Detail!$A$5:$A$295,$J$5,GF_Budget_Detail!$D$5:$D$295,"Proceeds from sale of capital assets")</f>
        <v/>
      </c>
      <c r="D36" s="36">
        <f>SUMIFS(GF_Budget_Detail!$G$5:$G$295,GF_Budget_Detail!$A$5:$A$295,$J$5,GF_Budget_Detail!$D$5:$D$295,"Proceeds from sale of capital assets")</f>
        <v/>
      </c>
      <c r="E36" s="22">
        <f>C36-B36</f>
        <v/>
      </c>
      <c r="F36" s="22">
        <f>(D36-C36)</f>
        <v/>
      </c>
      <c r="G36" s="43">
        <f>(D36-B36)</f>
        <v/>
      </c>
      <c r="H36" s="33">
        <f>IFERROR(F36/ABS(C36),0)</f>
        <v/>
      </c>
      <c r="I36" s="44">
        <f>IF(AND(ABS(F36)&gt;=$L$2,ABS(H36)&gt;=$L$3),"Explain","")</f>
        <v/>
      </c>
      <c r="J36" s="2" t="n"/>
      <c r="K36" s="2" t="n"/>
      <c r="L36" s="2" t="n"/>
    </row>
    <row r="37">
      <c r="A37" s="21" t="inlineStr">
        <is>
          <t>Special items</t>
        </is>
      </c>
      <c r="B37" s="36">
        <f>SUMIFS(GF_Budget_Detail!$E$5:$E$295,GF_Budget_Detail!$A$5:$A$295,$J$5,GF_Budget_Detail!$D$5:$D$295,"Special items")</f>
        <v/>
      </c>
      <c r="C37" s="36">
        <f>SUMIFS(GF_Budget_Detail!$F$5:$F$295,GF_Budget_Detail!$A$5:$A$295,$J$5,GF_Budget_Detail!$D$5:$D$295,"Special items")</f>
        <v/>
      </c>
      <c r="D37" s="36">
        <f>SUMIFS(GF_Budget_Detail!$G$5:$G$295,GF_Budget_Detail!$A$5:$A$295,$J$5,GF_Budget_Detail!$D$5:$D$295,"Special items")</f>
        <v/>
      </c>
      <c r="E37" s="22">
        <f>C37-B37</f>
        <v/>
      </c>
      <c r="F37" s="22">
        <f>(D37-C37)</f>
        <v/>
      </c>
      <c r="G37" s="43">
        <f>(D37-B37)</f>
        <v/>
      </c>
      <c r="H37" s="33">
        <f>IFERROR(F37/ABS(C37),0)</f>
        <v/>
      </c>
      <c r="I37" s="44">
        <f>IF(AND(ABS(F37)&gt;=$L$2,ABS(H37)&gt;=$L$3),"Explain","")</f>
        <v/>
      </c>
      <c r="J37" s="2" t="n"/>
      <c r="K37" s="2" t="n"/>
      <c r="L37" s="2" t="n"/>
    </row>
    <row r="38">
      <c r="A38" s="12" t="inlineStr">
        <is>
          <t>Total other financing sources (uses) and special items</t>
        </is>
      </c>
      <c r="B38" s="24">
        <f>SUM(B33:B37)</f>
        <v/>
      </c>
      <c r="C38" s="24">
        <f>SUM(C33:C37)</f>
        <v/>
      </c>
      <c r="D38" s="24">
        <f>SUM(D33:D37)</f>
        <v/>
      </c>
      <c r="E38" s="24">
        <f>C38-B38</f>
        <v/>
      </c>
      <c r="F38" s="24">
        <f>(D38-C38)</f>
        <v/>
      </c>
      <c r="G38" s="24">
        <f>(D38-B38)</f>
        <v/>
      </c>
      <c r="H38" s="45">
        <f>IFERROR(F38/ABS(C38),0)</f>
        <v/>
      </c>
      <c r="I38" s="46">
        <f>IF(AND(ABS(F38)&gt;=$L$2,ABS(H38)&gt;=$L$3),"Explain","")</f>
        <v/>
      </c>
      <c r="J38" s="2" t="n"/>
      <c r="K38" s="2" t="n"/>
      <c r="L38" s="2" t="n"/>
    </row>
    <row r="39">
      <c r="A39" s="2" t="n"/>
      <c r="B39" s="2" t="n"/>
      <c r="C39" s="2" t="n"/>
      <c r="D39" s="2" t="n"/>
      <c r="E39" s="2" t="n"/>
      <c r="F39" s="2" t="n"/>
      <c r="G39" s="2" t="n"/>
      <c r="H39" s="2" t="n"/>
      <c r="I39" s="2" t="n"/>
      <c r="J39" s="2" t="n"/>
      <c r="K39" s="2" t="n"/>
      <c r="L39" s="2" t="n"/>
    </row>
    <row r="40">
      <c r="A40" s="12" t="inlineStr">
        <is>
          <t>Net change in fund balance</t>
        </is>
      </c>
      <c r="B40" s="31">
        <f>B16-B31+B38</f>
        <v/>
      </c>
      <c r="C40" s="31">
        <f>C16-C31+C38</f>
        <v/>
      </c>
      <c r="D40" s="31">
        <f>D16-D31+D38</f>
        <v/>
      </c>
      <c r="E40" s="31">
        <f>C40-B40</f>
        <v/>
      </c>
      <c r="F40" s="31">
        <f>D40-C40</f>
        <v/>
      </c>
      <c r="G40" s="31">
        <f>D40-B40</f>
        <v/>
      </c>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16" t="inlineStr">
        <is>
          <t>FY2014-15 (year ended June 30, 2015)  -  Budgetary comparison schedule, General Fund  -  GAAP (modified accrual) budgetary basis</t>
        </is>
      </c>
      <c r="B43" s="39" t="n"/>
      <c r="C43" s="39" t="n"/>
      <c r="D43" s="39" t="n"/>
      <c r="E43" s="39" t="n"/>
      <c r="F43" s="39" t="n"/>
      <c r="G43" s="39" t="n"/>
      <c r="H43" s="39" t="n"/>
      <c r="I43" s="39" t="n"/>
      <c r="J43" s="40" t="n">
        <v>2015</v>
      </c>
      <c r="K43" s="2" t="n"/>
      <c r="L43" s="2" t="n"/>
    </row>
    <row r="44" ht="54" customHeight="1">
      <c r="A44" s="41" t="inlineStr">
        <is>
          <t>Category</t>
        </is>
      </c>
      <c r="B44" s="41" t="inlineStr">
        <is>
          <t>Budgeted amounts - Original</t>
        </is>
      </c>
      <c r="C44" s="41" t="inlineStr">
        <is>
          <t>Budgeted amounts - Final</t>
        </is>
      </c>
      <c r="D44" s="41" t="inlineStr">
        <is>
          <t>Actual amounts (budgetary basis)</t>
        </is>
      </c>
      <c r="E44" s="41" t="inlineStr">
        <is>
          <t>Variance: Original to Final budget, increase (decrease)</t>
        </is>
      </c>
      <c r="F44" s="41" t="inlineStr">
        <is>
          <t>Variance with Final budget, positive (negative)</t>
        </is>
      </c>
      <c r="G44" s="42" t="inlineStr">
        <is>
          <t>Variance with Original budget, positive (negative) [supplementary]</t>
        </is>
      </c>
      <c r="H44" s="41" t="inlineStr">
        <is>
          <t>Variance with Final budget %</t>
        </is>
      </c>
      <c r="I44" s="41" t="inlineStr">
        <is>
          <t>Significant variance? (GASB 103 note candidate)</t>
        </is>
      </c>
      <c r="J44" s="2" t="n"/>
      <c r="K44" s="2" t="n"/>
      <c r="L44" s="2" t="n"/>
    </row>
    <row r="45">
      <c r="A45" s="21" t="inlineStr">
        <is>
          <t>Property taxes</t>
        </is>
      </c>
      <c r="B45" s="36">
        <f>SUMIFS(GF_Budget_Detail!$E$5:$E$295,GF_Budget_Detail!$A$5:$A$295,$J$43,GF_Budget_Detail!$D$5:$D$295,"Property taxes")</f>
        <v/>
      </c>
      <c r="C45" s="36">
        <f>SUMIFS(GF_Budget_Detail!$F$5:$F$295,GF_Budget_Detail!$A$5:$A$295,$J$43,GF_Budget_Detail!$D$5:$D$295,"Property taxes")</f>
        <v/>
      </c>
      <c r="D45" s="36">
        <f>SUMIFS(GF_Budget_Detail!$G$5:$G$295,GF_Budget_Detail!$A$5:$A$295,$J$43,GF_Budget_Detail!$D$5:$D$295,"Property taxes")</f>
        <v/>
      </c>
      <c r="E45" s="22">
        <f>C45-B45</f>
        <v/>
      </c>
      <c r="F45" s="22">
        <f>(D45-C45)</f>
        <v/>
      </c>
      <c r="G45" s="43">
        <f>(D45-B45)</f>
        <v/>
      </c>
      <c r="H45" s="33">
        <f>IFERROR(F45/ABS(C45),0)</f>
        <v/>
      </c>
      <c r="I45" s="44">
        <f>IF(AND(ABS(F45)&gt;=$L$2,ABS(H45)&gt;=$L$3),"Explain","")</f>
        <v/>
      </c>
      <c r="J45" s="2" t="n"/>
      <c r="K45" s="2" t="n"/>
      <c r="L45" s="2" t="n"/>
    </row>
    <row r="46">
      <c r="A46" s="21" t="inlineStr">
        <is>
          <t>Taxes other than property</t>
        </is>
      </c>
      <c r="B46" s="36">
        <f>SUMIFS(GF_Budget_Detail!$E$5:$E$295,GF_Budget_Detail!$A$5:$A$295,$J$43,GF_Budget_Detail!$D$5:$D$295,"Taxes other than property")</f>
        <v/>
      </c>
      <c r="C46" s="36">
        <f>SUMIFS(GF_Budget_Detail!$F$5:$F$295,GF_Budget_Detail!$A$5:$A$295,$J$43,GF_Budget_Detail!$D$5:$D$295,"Taxes other than property")</f>
        <v/>
      </c>
      <c r="D46" s="36">
        <f>SUMIFS(GF_Budget_Detail!$G$5:$G$295,GF_Budget_Detail!$A$5:$A$295,$J$43,GF_Budget_Detail!$D$5:$D$295,"Taxes other than property")</f>
        <v/>
      </c>
      <c r="E46" s="22">
        <f>C46-B46</f>
        <v/>
      </c>
      <c r="F46" s="22">
        <f>(D46-C46)</f>
        <v/>
      </c>
      <c r="G46" s="43">
        <f>(D46-B46)</f>
        <v/>
      </c>
      <c r="H46" s="33">
        <f>IFERROR(F46/ABS(C46),0)</f>
        <v/>
      </c>
      <c r="I46" s="44">
        <f>IF(AND(ABS(F46)&gt;=$L$2,ABS(H46)&gt;=$L$3),"Explain","")</f>
        <v/>
      </c>
      <c r="J46" s="2" t="n"/>
      <c r="K46" s="2" t="n"/>
      <c r="L46" s="2" t="n"/>
    </row>
    <row r="47">
      <c r="A47" s="21" t="inlineStr">
        <is>
          <t>Taxes and assessments (combined)</t>
        </is>
      </c>
      <c r="B47" s="36">
        <f>SUMIFS(GF_Budget_Detail!$E$5:$E$295,GF_Budget_Detail!$A$5:$A$295,$J$43,GF_Budget_Detail!$D$5:$D$295,"Taxes and assessments (combined)")</f>
        <v/>
      </c>
      <c r="C47" s="36">
        <f>SUMIFS(GF_Budget_Detail!$F$5:$F$295,GF_Budget_Detail!$A$5:$A$295,$J$43,GF_Budget_Detail!$D$5:$D$295,"Taxes and assessments (combined)")</f>
        <v/>
      </c>
      <c r="D47" s="36">
        <f>SUMIFS(GF_Budget_Detail!$G$5:$G$295,GF_Budget_Detail!$A$5:$A$295,$J$43,GF_Budget_Detail!$D$5:$D$295,"Taxes and assessments (combined)")</f>
        <v/>
      </c>
      <c r="E47" s="22">
        <f>C47-B47</f>
        <v/>
      </c>
      <c r="F47" s="22">
        <f>(D47-C47)</f>
        <v/>
      </c>
      <c r="G47" s="43">
        <f>(D47-B47)</f>
        <v/>
      </c>
      <c r="H47" s="33">
        <f>IFERROR(F47/ABS(C47),0)</f>
        <v/>
      </c>
      <c r="I47" s="44">
        <f>IF(AND(ABS(F47)&gt;=$L$2,ABS(H47)&gt;=$L$3),"Explain","")</f>
        <v/>
      </c>
      <c r="J47" s="2" t="n"/>
      <c r="K47" s="2" t="n"/>
      <c r="L47" s="2" t="n"/>
    </row>
    <row r="48">
      <c r="A48" s="21" t="inlineStr">
        <is>
          <t>Licenses and permits</t>
        </is>
      </c>
      <c r="B48" s="36">
        <f>SUMIFS(GF_Budget_Detail!$E$5:$E$295,GF_Budget_Detail!$A$5:$A$295,$J$43,GF_Budget_Detail!$D$5:$D$295,"Licenses and permits")</f>
        <v/>
      </c>
      <c r="C48" s="36">
        <f>SUMIFS(GF_Budget_Detail!$F$5:$F$295,GF_Budget_Detail!$A$5:$A$295,$J$43,GF_Budget_Detail!$D$5:$D$295,"Licenses and permits")</f>
        <v/>
      </c>
      <c r="D48" s="36">
        <f>SUMIFS(GF_Budget_Detail!$G$5:$G$295,GF_Budget_Detail!$A$5:$A$295,$J$43,GF_Budget_Detail!$D$5:$D$295,"Licenses and permits")</f>
        <v/>
      </c>
      <c r="E48" s="22">
        <f>C48-B48</f>
        <v/>
      </c>
      <c r="F48" s="22">
        <f>(D48-C48)</f>
        <v/>
      </c>
      <c r="G48" s="43">
        <f>(D48-B48)</f>
        <v/>
      </c>
      <c r="H48" s="33">
        <f>IFERROR(F48/ABS(C48),0)</f>
        <v/>
      </c>
      <c r="I48" s="44">
        <f>IF(AND(ABS(F48)&gt;=$L$2,ABS(H48)&gt;=$L$3),"Explain","")</f>
        <v/>
      </c>
      <c r="J48" s="2" t="n"/>
      <c r="K48" s="2" t="n"/>
      <c r="L48" s="2" t="n"/>
    </row>
    <row r="49">
      <c r="A49" s="21" t="inlineStr">
        <is>
          <t>Fines and forfeitures</t>
        </is>
      </c>
      <c r="B49" s="36">
        <f>SUMIFS(GF_Budget_Detail!$E$5:$E$295,GF_Budget_Detail!$A$5:$A$295,$J$43,GF_Budget_Detail!$D$5:$D$295,"Fines and forfeitures")</f>
        <v/>
      </c>
      <c r="C49" s="36">
        <f>SUMIFS(GF_Budget_Detail!$F$5:$F$295,GF_Budget_Detail!$A$5:$A$295,$J$43,GF_Budget_Detail!$D$5:$D$295,"Fines and forfeitures")</f>
        <v/>
      </c>
      <c r="D49" s="36">
        <f>SUMIFS(GF_Budget_Detail!$G$5:$G$295,GF_Budget_Detail!$A$5:$A$295,$J$43,GF_Budget_Detail!$D$5:$D$295,"Fines and forfeitures")</f>
        <v/>
      </c>
      <c r="E49" s="22">
        <f>C49-B49</f>
        <v/>
      </c>
      <c r="F49" s="22">
        <f>(D49-C49)</f>
        <v/>
      </c>
      <c r="G49" s="43">
        <f>(D49-B49)</f>
        <v/>
      </c>
      <c r="H49" s="33">
        <f>IFERROR(F49/ABS(C49),0)</f>
        <v/>
      </c>
      <c r="I49" s="44">
        <f>IF(AND(ABS(F49)&gt;=$L$2,ABS(H49)&gt;=$L$3),"Explain","")</f>
        <v/>
      </c>
      <c r="J49" s="2" t="n"/>
      <c r="K49" s="2" t="n"/>
      <c r="L49" s="2" t="n"/>
    </row>
    <row r="50">
      <c r="A50" s="21" t="inlineStr">
        <is>
          <t>Use of money and property</t>
        </is>
      </c>
      <c r="B50" s="36">
        <f>SUMIFS(GF_Budget_Detail!$E$5:$E$295,GF_Budget_Detail!$A$5:$A$295,$J$43,GF_Budget_Detail!$D$5:$D$295,"Use of money and property")</f>
        <v/>
      </c>
      <c r="C50" s="36">
        <f>SUMIFS(GF_Budget_Detail!$F$5:$F$295,GF_Budget_Detail!$A$5:$A$295,$J$43,GF_Budget_Detail!$D$5:$D$295,"Use of money and property")</f>
        <v/>
      </c>
      <c r="D50" s="36">
        <f>SUMIFS(GF_Budget_Detail!$G$5:$G$295,GF_Budget_Detail!$A$5:$A$295,$J$43,GF_Budget_Detail!$D$5:$D$295,"Use of money and property")</f>
        <v/>
      </c>
      <c r="E50" s="22">
        <f>C50-B50</f>
        <v/>
      </c>
      <c r="F50" s="22">
        <f>(D50-C50)</f>
        <v/>
      </c>
      <c r="G50" s="43">
        <f>(D50-B50)</f>
        <v/>
      </c>
      <c r="H50" s="33">
        <f>IFERROR(F50/ABS(C50),0)</f>
        <v/>
      </c>
      <c r="I50" s="44">
        <f>IF(AND(ABS(F50)&gt;=$L$2,ABS(H50)&gt;=$L$3),"Explain","")</f>
        <v/>
      </c>
      <c r="J50" s="2" t="n"/>
      <c r="K50" s="2" t="n"/>
      <c r="L50" s="2" t="n"/>
    </row>
    <row r="51">
      <c r="A51" s="21" t="inlineStr">
        <is>
          <t>Intergovernmental</t>
        </is>
      </c>
      <c r="B51" s="36">
        <f>SUMIFS(GF_Budget_Detail!$E$5:$E$295,GF_Budget_Detail!$A$5:$A$295,$J$43,GF_Budget_Detail!$D$5:$D$295,"Intergovernmental")</f>
        <v/>
      </c>
      <c r="C51" s="36">
        <f>SUMIFS(GF_Budget_Detail!$F$5:$F$295,GF_Budget_Detail!$A$5:$A$295,$J$43,GF_Budget_Detail!$D$5:$D$295,"Intergovernmental")</f>
        <v/>
      </c>
      <c r="D51" s="36">
        <f>SUMIFS(GF_Budget_Detail!$G$5:$G$295,GF_Budget_Detail!$A$5:$A$295,$J$43,GF_Budget_Detail!$D$5:$D$295,"Intergovernmental")</f>
        <v/>
      </c>
      <c r="E51" s="22">
        <f>C51-B51</f>
        <v/>
      </c>
      <c r="F51" s="22">
        <f>(D51-C51)</f>
        <v/>
      </c>
      <c r="G51" s="43">
        <f>(D51-B51)</f>
        <v/>
      </c>
      <c r="H51" s="33">
        <f>IFERROR(F51/ABS(C51),0)</f>
        <v/>
      </c>
      <c r="I51" s="44">
        <f>IF(AND(ABS(F51)&gt;=$L$2,ABS(H51)&gt;=$L$3),"Explain","")</f>
        <v/>
      </c>
      <c r="J51" s="2" t="n"/>
      <c r="K51" s="2" t="n"/>
      <c r="L51" s="2" t="n"/>
    </row>
    <row r="52">
      <c r="A52" s="21" t="inlineStr">
        <is>
          <t>Charges for services</t>
        </is>
      </c>
      <c r="B52" s="36">
        <f>SUMIFS(GF_Budget_Detail!$E$5:$E$295,GF_Budget_Detail!$A$5:$A$295,$J$43,GF_Budget_Detail!$D$5:$D$295,"Charges for services")</f>
        <v/>
      </c>
      <c r="C52" s="36">
        <f>SUMIFS(GF_Budget_Detail!$F$5:$F$295,GF_Budget_Detail!$A$5:$A$295,$J$43,GF_Budget_Detail!$D$5:$D$295,"Charges for services")</f>
        <v/>
      </c>
      <c r="D52" s="36">
        <f>SUMIFS(GF_Budget_Detail!$G$5:$G$295,GF_Budget_Detail!$A$5:$A$295,$J$43,GF_Budget_Detail!$D$5:$D$295,"Charges for services")</f>
        <v/>
      </c>
      <c r="E52" s="22">
        <f>C52-B52</f>
        <v/>
      </c>
      <c r="F52" s="22">
        <f>(D52-C52)</f>
        <v/>
      </c>
      <c r="G52" s="43">
        <f>(D52-B52)</f>
        <v/>
      </c>
      <c r="H52" s="33">
        <f>IFERROR(F52/ABS(C52),0)</f>
        <v/>
      </c>
      <c r="I52" s="44">
        <f>IF(AND(ABS(F52)&gt;=$L$2,ABS(H52)&gt;=$L$3),"Explain","")</f>
        <v/>
      </c>
      <c r="J52" s="2" t="n"/>
      <c r="K52" s="2" t="n"/>
      <c r="L52" s="2" t="n"/>
    </row>
    <row r="53">
      <c r="A53" s="21" t="inlineStr">
        <is>
          <t>Other revenues</t>
        </is>
      </c>
      <c r="B53" s="36">
        <f>SUMIFS(GF_Budget_Detail!$E$5:$E$295,GF_Budget_Detail!$A$5:$A$295,$J$43,GF_Budget_Detail!$D$5:$D$295,"Other revenues")</f>
        <v/>
      </c>
      <c r="C53" s="36">
        <f>SUMIFS(GF_Budget_Detail!$F$5:$F$295,GF_Budget_Detail!$A$5:$A$295,$J$43,GF_Budget_Detail!$D$5:$D$295,"Other revenues")</f>
        <v/>
      </c>
      <c r="D53" s="36">
        <f>SUMIFS(GF_Budget_Detail!$G$5:$G$295,GF_Budget_Detail!$A$5:$A$295,$J$43,GF_Budget_Detail!$D$5:$D$295,"Other revenues")</f>
        <v/>
      </c>
      <c r="E53" s="22">
        <f>C53-B53</f>
        <v/>
      </c>
      <c r="F53" s="22">
        <f>(D53-C53)</f>
        <v/>
      </c>
      <c r="G53" s="43">
        <f>(D53-B53)</f>
        <v/>
      </c>
      <c r="H53" s="33">
        <f>IFERROR(F53/ABS(C53),0)</f>
        <v/>
      </c>
      <c r="I53" s="44">
        <f>IF(AND(ABS(F53)&gt;=$L$2,ABS(H53)&gt;=$L$3),"Explain","")</f>
        <v/>
      </c>
      <c r="J53" s="2" t="n"/>
      <c r="K53" s="2" t="n"/>
      <c r="L53" s="2" t="n"/>
    </row>
    <row r="54">
      <c r="A54" s="12" t="inlineStr">
        <is>
          <t>Total revenues</t>
        </is>
      </c>
      <c r="B54" s="24">
        <f>SUM(B45:B53)</f>
        <v/>
      </c>
      <c r="C54" s="24">
        <f>SUM(C45:C53)</f>
        <v/>
      </c>
      <c r="D54" s="24">
        <f>SUM(D45:D53)</f>
        <v/>
      </c>
      <c r="E54" s="24">
        <f>C54-B54</f>
        <v/>
      </c>
      <c r="F54" s="24">
        <f>(D54-C54)</f>
        <v/>
      </c>
      <c r="G54" s="24">
        <f>(D54-B54)</f>
        <v/>
      </c>
      <c r="H54" s="45">
        <f>IFERROR(F54/ABS(C54),0)</f>
        <v/>
      </c>
      <c r="I54" s="46">
        <f>IF(AND(ABS(F54)&gt;=$L$2,ABS(H54)&gt;=$L$3),"Explain","")</f>
        <v/>
      </c>
      <c r="J54" s="2" t="n"/>
      <c r="K54" s="2" t="n"/>
      <c r="L54" s="2" t="n"/>
    </row>
    <row r="55">
      <c r="A55" s="2" t="n"/>
      <c r="B55" s="2" t="n"/>
      <c r="C55" s="2" t="n"/>
      <c r="D55" s="2" t="n"/>
      <c r="E55" s="2" t="n"/>
      <c r="F55" s="2" t="n"/>
      <c r="G55" s="2" t="n"/>
      <c r="H55" s="2" t="n"/>
      <c r="I55" s="2" t="n"/>
      <c r="J55" s="2" t="n"/>
      <c r="K55" s="2" t="n"/>
      <c r="L55" s="2" t="n"/>
    </row>
    <row r="56">
      <c r="A56" s="21" t="inlineStr">
        <is>
          <t>General government</t>
        </is>
      </c>
      <c r="B56" s="36">
        <f>SUMIFS(GF_Budget_Detail!$E$5:$E$295,GF_Budget_Detail!$A$5:$A$295,$J$43,GF_Budget_Detail!$D$5:$D$295,"General government")</f>
        <v/>
      </c>
      <c r="C56" s="36">
        <f>SUMIFS(GF_Budget_Detail!$F$5:$F$295,GF_Budget_Detail!$A$5:$A$295,$J$43,GF_Budget_Detail!$D$5:$D$295,"General government")</f>
        <v/>
      </c>
      <c r="D56" s="36">
        <f>SUMIFS(GF_Budget_Detail!$G$5:$G$295,GF_Budget_Detail!$A$5:$A$295,$J$43,GF_Budget_Detail!$D$5:$D$295,"General government")</f>
        <v/>
      </c>
      <c r="E56" s="22">
        <f>C56-B56</f>
        <v/>
      </c>
      <c r="F56" s="22">
        <f>-(D56-C56)</f>
        <v/>
      </c>
      <c r="G56" s="43">
        <f>-(D56-B56)</f>
        <v/>
      </c>
      <c r="H56" s="33">
        <f>IFERROR(F56/ABS(C56),0)</f>
        <v/>
      </c>
      <c r="I56" s="44">
        <f>IF(AND(ABS(F56)&gt;=$L$2,ABS(H56)&gt;=$L$3),"Explain","")</f>
        <v/>
      </c>
      <c r="J56" s="2" t="n"/>
      <c r="K56" s="2" t="n"/>
      <c r="L56" s="2" t="n"/>
    </row>
    <row r="57">
      <c r="A57" s="21" t="inlineStr">
        <is>
          <t>Public works</t>
        </is>
      </c>
      <c r="B57" s="36">
        <f>SUMIFS(GF_Budget_Detail!$E$5:$E$295,GF_Budget_Detail!$A$5:$A$295,$J$43,GF_Budget_Detail!$D$5:$D$295,"Public works")</f>
        <v/>
      </c>
      <c r="C57" s="36">
        <f>SUMIFS(GF_Budget_Detail!$F$5:$F$295,GF_Budget_Detail!$A$5:$A$295,$J$43,GF_Budget_Detail!$D$5:$D$295,"Public works")</f>
        <v/>
      </c>
      <c r="D57" s="36">
        <f>SUMIFS(GF_Budget_Detail!$G$5:$G$295,GF_Budget_Detail!$A$5:$A$295,$J$43,GF_Budget_Detail!$D$5:$D$295,"Public works")</f>
        <v/>
      </c>
      <c r="E57" s="22">
        <f>C57-B57</f>
        <v/>
      </c>
      <c r="F57" s="22">
        <f>-(D57-C57)</f>
        <v/>
      </c>
      <c r="G57" s="43">
        <f>-(D57-B57)</f>
        <v/>
      </c>
      <c r="H57" s="33">
        <f>IFERROR(F57/ABS(C57),0)</f>
        <v/>
      </c>
      <c r="I57" s="44">
        <f>IF(AND(ABS(F57)&gt;=$L$2,ABS(H57)&gt;=$L$3),"Explain","")</f>
        <v/>
      </c>
      <c r="J57" s="2" t="n"/>
      <c r="K57" s="2" t="n"/>
      <c r="L57" s="2" t="n"/>
    </row>
    <row r="58">
      <c r="A58" s="21" t="inlineStr">
        <is>
          <t>Recreation</t>
        </is>
      </c>
      <c r="B58" s="36">
        <f>SUMIFS(GF_Budget_Detail!$E$5:$E$295,GF_Budget_Detail!$A$5:$A$295,$J$43,GF_Budget_Detail!$D$5:$D$295,"Recreation")</f>
        <v/>
      </c>
      <c r="C58" s="36">
        <f>SUMIFS(GF_Budget_Detail!$F$5:$F$295,GF_Budget_Detail!$A$5:$A$295,$J$43,GF_Budget_Detail!$D$5:$D$295,"Recreation")</f>
        <v/>
      </c>
      <c r="D58" s="36">
        <f>SUMIFS(GF_Budget_Detail!$G$5:$G$295,GF_Budget_Detail!$A$5:$A$295,$J$43,GF_Budget_Detail!$D$5:$D$295,"Recreation")</f>
        <v/>
      </c>
      <c r="E58" s="22">
        <f>C58-B58</f>
        <v/>
      </c>
      <c r="F58" s="22">
        <f>-(D58-C58)</f>
        <v/>
      </c>
      <c r="G58" s="43">
        <f>-(D58-B58)</f>
        <v/>
      </c>
      <c r="H58" s="33">
        <f>IFERROR(F58/ABS(C58),0)</f>
        <v/>
      </c>
      <c r="I58" s="44">
        <f>IF(AND(ABS(F58)&gt;=$L$2,ABS(H58)&gt;=$L$3),"Explain","")</f>
        <v/>
      </c>
      <c r="J58" s="2" t="n"/>
      <c r="K58" s="2" t="n"/>
      <c r="L58" s="2" t="n"/>
    </row>
    <row r="59">
      <c r="A59" s="21" t="inlineStr">
        <is>
          <t>Community development</t>
        </is>
      </c>
      <c r="B59" s="36">
        <f>SUMIFS(GF_Budget_Detail!$E$5:$E$295,GF_Budget_Detail!$A$5:$A$295,$J$43,GF_Budget_Detail!$D$5:$D$295,"Community development")</f>
        <v/>
      </c>
      <c r="C59" s="36">
        <f>SUMIFS(GF_Budget_Detail!$F$5:$F$295,GF_Budget_Detail!$A$5:$A$295,$J$43,GF_Budget_Detail!$D$5:$D$295,"Community development")</f>
        <v/>
      </c>
      <c r="D59" s="36">
        <f>SUMIFS(GF_Budget_Detail!$G$5:$G$295,GF_Budget_Detail!$A$5:$A$295,$J$43,GF_Budget_Detail!$D$5:$D$295,"Community development")</f>
        <v/>
      </c>
      <c r="E59" s="22">
        <f>C59-B59</f>
        <v/>
      </c>
      <c r="F59" s="22">
        <f>-(D59-C59)</f>
        <v/>
      </c>
      <c r="G59" s="43">
        <f>-(D59-B59)</f>
        <v/>
      </c>
      <c r="H59" s="33">
        <f>IFERROR(F59/ABS(C59),0)</f>
        <v/>
      </c>
      <c r="I59" s="44">
        <f>IF(AND(ABS(F59)&gt;=$L$2,ABS(H59)&gt;=$L$3),"Explain","")</f>
        <v/>
      </c>
      <c r="J59" s="2" t="n"/>
      <c r="K59" s="2" t="n"/>
      <c r="L59" s="2" t="n"/>
    </row>
    <row r="60">
      <c r="A60" s="21" t="inlineStr">
        <is>
          <t>Public safety - Police</t>
        </is>
      </c>
      <c r="B60" s="36">
        <f>SUMIFS(GF_Budget_Detail!$E$5:$E$295,GF_Budget_Detail!$A$5:$A$295,$J$43,GF_Budget_Detail!$D$5:$D$295,"Public safety - Police")</f>
        <v/>
      </c>
      <c r="C60" s="36">
        <f>SUMIFS(GF_Budget_Detail!$F$5:$F$295,GF_Budget_Detail!$A$5:$A$295,$J$43,GF_Budget_Detail!$D$5:$D$295,"Public safety - Police")</f>
        <v/>
      </c>
      <c r="D60" s="36">
        <f>SUMIFS(GF_Budget_Detail!$G$5:$G$295,GF_Budget_Detail!$A$5:$A$295,$J$43,GF_Budget_Detail!$D$5:$D$295,"Public safety - Police")</f>
        <v/>
      </c>
      <c r="E60" s="22">
        <f>C60-B60</f>
        <v/>
      </c>
      <c r="F60" s="22">
        <f>-(D60-C60)</f>
        <v/>
      </c>
      <c r="G60" s="43">
        <f>-(D60-B60)</f>
        <v/>
      </c>
      <c r="H60" s="33">
        <f>IFERROR(F60/ABS(C60),0)</f>
        <v/>
      </c>
      <c r="I60" s="44">
        <f>IF(AND(ABS(F60)&gt;=$L$2,ABS(H60)&gt;=$L$3),"Explain","")</f>
        <v/>
      </c>
      <c r="J60" s="2" t="n"/>
      <c r="K60" s="2" t="n"/>
      <c r="L60" s="2" t="n"/>
    </row>
    <row r="61">
      <c r="A61" s="21" t="inlineStr">
        <is>
          <t>Public safety - Fire</t>
        </is>
      </c>
      <c r="B61" s="36">
        <f>SUMIFS(GF_Budget_Detail!$E$5:$E$295,GF_Budget_Detail!$A$5:$A$295,$J$43,GF_Budget_Detail!$D$5:$D$295,"Public safety - Fire")</f>
        <v/>
      </c>
      <c r="C61" s="36">
        <f>SUMIFS(GF_Budget_Detail!$F$5:$F$295,GF_Budget_Detail!$A$5:$A$295,$J$43,GF_Budget_Detail!$D$5:$D$295,"Public safety - Fire")</f>
        <v/>
      </c>
      <c r="D61" s="36">
        <f>SUMIFS(GF_Budget_Detail!$G$5:$G$295,GF_Budget_Detail!$A$5:$A$295,$J$43,GF_Budget_Detail!$D$5:$D$295,"Public safety - Fire")</f>
        <v/>
      </c>
      <c r="E61" s="22">
        <f>C61-B61</f>
        <v/>
      </c>
      <c r="F61" s="22">
        <f>-(D61-C61)</f>
        <v/>
      </c>
      <c r="G61" s="43">
        <f>-(D61-B61)</f>
        <v/>
      </c>
      <c r="H61" s="33">
        <f>IFERROR(F61/ABS(C61),0)</f>
        <v/>
      </c>
      <c r="I61" s="44">
        <f>IF(AND(ABS(F61)&gt;=$L$2,ABS(H61)&gt;=$L$3),"Explain","")</f>
        <v/>
      </c>
      <c r="J61" s="2" t="n"/>
      <c r="K61" s="2" t="n"/>
      <c r="L61" s="2" t="n"/>
    </row>
    <row r="62">
      <c r="A62" s="21" t="inlineStr">
        <is>
          <t>Public safety (combined)</t>
        </is>
      </c>
      <c r="B62" s="36">
        <f>SUMIFS(GF_Budget_Detail!$E$5:$E$295,GF_Budget_Detail!$A$5:$A$295,$J$43,GF_Budget_Detail!$D$5:$D$295,"Public safety (combined)")</f>
        <v/>
      </c>
      <c r="C62" s="36">
        <f>SUMIFS(GF_Budget_Detail!$F$5:$F$295,GF_Budget_Detail!$A$5:$A$295,$J$43,GF_Budget_Detail!$D$5:$D$295,"Public safety (combined)")</f>
        <v/>
      </c>
      <c r="D62" s="36">
        <f>SUMIFS(GF_Budget_Detail!$G$5:$G$295,GF_Budget_Detail!$A$5:$A$295,$J$43,GF_Budget_Detail!$D$5:$D$295,"Public safety (combined)")</f>
        <v/>
      </c>
      <c r="E62" s="22">
        <f>C62-B62</f>
        <v/>
      </c>
      <c r="F62" s="22">
        <f>-(D62-C62)</f>
        <v/>
      </c>
      <c r="G62" s="43">
        <f>-(D62-B62)</f>
        <v/>
      </c>
      <c r="H62" s="33">
        <f>IFERROR(F62/ABS(C62),0)</f>
        <v/>
      </c>
      <c r="I62" s="44">
        <f>IF(AND(ABS(F62)&gt;=$L$2,ABS(H62)&gt;=$L$3),"Explain","")</f>
        <v/>
      </c>
      <c r="J62" s="2" t="n"/>
      <c r="K62" s="2" t="n"/>
      <c r="L62" s="2" t="n"/>
    </row>
    <row r="63">
      <c r="A63" s="21" t="inlineStr">
        <is>
          <t>Payment of sales tax to City of Richmond</t>
        </is>
      </c>
      <c r="B63" s="36">
        <f>SUMIFS(GF_Budget_Detail!$E$5:$E$295,GF_Budget_Detail!$A$5:$A$295,$J$43,GF_Budget_Detail!$D$5:$D$295,"Payment of sales tax to City of Richmond")</f>
        <v/>
      </c>
      <c r="C63" s="36">
        <f>SUMIFS(GF_Budget_Detail!$F$5:$F$295,GF_Budget_Detail!$A$5:$A$295,$J$43,GF_Budget_Detail!$D$5:$D$295,"Payment of sales tax to City of Richmond")</f>
        <v/>
      </c>
      <c r="D63" s="36">
        <f>SUMIFS(GF_Budget_Detail!$G$5:$G$295,GF_Budget_Detail!$A$5:$A$295,$J$43,GF_Budget_Detail!$D$5:$D$295,"Payment of sales tax to City of Richmond")</f>
        <v/>
      </c>
      <c r="E63" s="22">
        <f>C63-B63</f>
        <v/>
      </c>
      <c r="F63" s="22">
        <f>-(D63-C63)</f>
        <v/>
      </c>
      <c r="G63" s="43">
        <f>-(D63-B63)</f>
        <v/>
      </c>
      <c r="H63" s="33">
        <f>IFERROR(F63/ABS(C63),0)</f>
        <v/>
      </c>
      <c r="I63" s="44">
        <f>IF(AND(ABS(F63)&gt;=$L$2,ABS(H63)&gt;=$L$3),"Explain","")</f>
        <v/>
      </c>
      <c r="J63" s="2" t="n"/>
      <c r="K63" s="2" t="n"/>
      <c r="L63" s="2" t="n"/>
    </row>
    <row r="64">
      <c r="A64" s="21" t="inlineStr">
        <is>
          <t>Capital outlay</t>
        </is>
      </c>
      <c r="B64" s="36">
        <f>SUMIFS(GF_Budget_Detail!$E$5:$E$295,GF_Budget_Detail!$A$5:$A$295,$J$43,GF_Budget_Detail!$D$5:$D$295,"Capital outlay")</f>
        <v/>
      </c>
      <c r="C64" s="36">
        <f>SUMIFS(GF_Budget_Detail!$F$5:$F$295,GF_Budget_Detail!$A$5:$A$295,$J$43,GF_Budget_Detail!$D$5:$D$295,"Capital outlay")</f>
        <v/>
      </c>
      <c r="D64" s="36">
        <f>SUMIFS(GF_Budget_Detail!$G$5:$G$295,GF_Budget_Detail!$A$5:$A$295,$J$43,GF_Budget_Detail!$D$5:$D$295,"Capital outlay")</f>
        <v/>
      </c>
      <c r="E64" s="22">
        <f>C64-B64</f>
        <v/>
      </c>
      <c r="F64" s="22">
        <f>-(D64-C64)</f>
        <v/>
      </c>
      <c r="G64" s="43">
        <f>-(D64-B64)</f>
        <v/>
      </c>
      <c r="H64" s="33">
        <f>IFERROR(F64/ABS(C64),0)</f>
        <v/>
      </c>
      <c r="I64" s="44">
        <f>IF(AND(ABS(F64)&gt;=$L$2,ABS(H64)&gt;=$L$3),"Explain","")</f>
        <v/>
      </c>
      <c r="J64" s="2" t="n"/>
      <c r="K64" s="2" t="n"/>
      <c r="L64" s="2" t="n"/>
    </row>
    <row r="65">
      <c r="A65" s="21" t="inlineStr">
        <is>
          <t>Debt service - principal</t>
        </is>
      </c>
      <c r="B65" s="36">
        <f>SUMIFS(GF_Budget_Detail!$E$5:$E$295,GF_Budget_Detail!$A$5:$A$295,$J$43,GF_Budget_Detail!$D$5:$D$295,"Debt service - principal")</f>
        <v/>
      </c>
      <c r="C65" s="36">
        <f>SUMIFS(GF_Budget_Detail!$F$5:$F$295,GF_Budget_Detail!$A$5:$A$295,$J$43,GF_Budget_Detail!$D$5:$D$295,"Debt service - principal")</f>
        <v/>
      </c>
      <c r="D65" s="36">
        <f>SUMIFS(GF_Budget_Detail!$G$5:$G$295,GF_Budget_Detail!$A$5:$A$295,$J$43,GF_Budget_Detail!$D$5:$D$295,"Debt service - principal")</f>
        <v/>
      </c>
      <c r="E65" s="22">
        <f>C65-B65</f>
        <v/>
      </c>
      <c r="F65" s="22">
        <f>-(D65-C65)</f>
        <v/>
      </c>
      <c r="G65" s="43">
        <f>-(D65-B65)</f>
        <v/>
      </c>
      <c r="H65" s="33">
        <f>IFERROR(F65/ABS(C65),0)</f>
        <v/>
      </c>
      <c r="I65" s="44">
        <f>IF(AND(ABS(F65)&gt;=$L$2,ABS(H65)&gt;=$L$3),"Explain","")</f>
        <v/>
      </c>
      <c r="J65" s="2" t="n"/>
      <c r="K65" s="2" t="n"/>
      <c r="L65" s="2" t="n"/>
    </row>
    <row r="66">
      <c r="A66" s="21" t="inlineStr">
        <is>
          <t>Debt service - interest</t>
        </is>
      </c>
      <c r="B66" s="36">
        <f>SUMIFS(GF_Budget_Detail!$E$5:$E$295,GF_Budget_Detail!$A$5:$A$295,$J$43,GF_Budget_Detail!$D$5:$D$295,"Debt service - interest")</f>
        <v/>
      </c>
      <c r="C66" s="36">
        <f>SUMIFS(GF_Budget_Detail!$F$5:$F$295,GF_Budget_Detail!$A$5:$A$295,$J$43,GF_Budget_Detail!$D$5:$D$295,"Debt service - interest")</f>
        <v/>
      </c>
      <c r="D66" s="36">
        <f>SUMIFS(GF_Budget_Detail!$G$5:$G$295,GF_Budget_Detail!$A$5:$A$295,$J$43,GF_Budget_Detail!$D$5:$D$295,"Debt service - interest")</f>
        <v/>
      </c>
      <c r="E66" s="22">
        <f>C66-B66</f>
        <v/>
      </c>
      <c r="F66" s="22">
        <f>-(D66-C66)</f>
        <v/>
      </c>
      <c r="G66" s="43">
        <f>-(D66-B66)</f>
        <v/>
      </c>
      <c r="H66" s="33">
        <f>IFERROR(F66/ABS(C66),0)</f>
        <v/>
      </c>
      <c r="I66" s="44">
        <f>IF(AND(ABS(F66)&gt;=$L$2,ABS(H66)&gt;=$L$3),"Explain","")</f>
        <v/>
      </c>
      <c r="J66" s="2" t="n"/>
      <c r="K66" s="2" t="n"/>
      <c r="L66" s="2" t="n"/>
    </row>
    <row r="67">
      <c r="A67" s="21" t="inlineStr">
        <is>
          <t>Non-departmental (budget-report basis)</t>
        </is>
      </c>
      <c r="B67" s="36">
        <f>SUMIFS(GF_Budget_Detail!$E$5:$E$295,GF_Budget_Detail!$A$5:$A$295,$J$43,GF_Budget_Detail!$D$5:$D$295,"Non-departmental (budget-report basis)")</f>
        <v/>
      </c>
      <c r="C67" s="36">
        <f>SUMIFS(GF_Budget_Detail!$F$5:$F$295,GF_Budget_Detail!$A$5:$A$295,$J$43,GF_Budget_Detail!$D$5:$D$295,"Non-departmental (budget-report basis)")</f>
        <v/>
      </c>
      <c r="D67" s="36">
        <f>SUMIFS(GF_Budget_Detail!$G$5:$G$295,GF_Budget_Detail!$A$5:$A$295,$J$43,GF_Budget_Detail!$D$5:$D$295,"Non-departmental (budget-report basis)")</f>
        <v/>
      </c>
      <c r="E67" s="22">
        <f>C67-B67</f>
        <v/>
      </c>
      <c r="F67" s="22">
        <f>-(D67-C67)</f>
        <v/>
      </c>
      <c r="G67" s="43">
        <f>-(D67-B67)</f>
        <v/>
      </c>
      <c r="H67" s="33">
        <f>IFERROR(F67/ABS(C67),0)</f>
        <v/>
      </c>
      <c r="I67" s="44">
        <f>IF(AND(ABS(F67)&gt;=$L$2,ABS(H67)&gt;=$L$3),"Explain","")</f>
        <v/>
      </c>
      <c r="J67" s="2" t="n"/>
      <c r="K67" s="2" t="n"/>
      <c r="L67" s="2" t="n"/>
    </row>
    <row r="68">
      <c r="A68" s="21" t="inlineStr">
        <is>
          <t>Original budget not itemized by department</t>
        </is>
      </c>
      <c r="B68" s="36">
        <f>SUMIFS(GF_Budget_Detail!$E$5:$E$295,GF_Budget_Detail!$A$5:$A$295,$J$43,GF_Budget_Detail!$D$5:$D$295,"Original budget not itemized by department")</f>
        <v/>
      </c>
      <c r="C68" s="36">
        <f>SUMIFS(GF_Budget_Detail!$F$5:$F$295,GF_Budget_Detail!$A$5:$A$295,$J$43,GF_Budget_Detail!$D$5:$D$295,"Original budget not itemized by department")</f>
        <v/>
      </c>
      <c r="D68" s="36">
        <f>SUMIFS(GF_Budget_Detail!$G$5:$G$295,GF_Budget_Detail!$A$5:$A$295,$J$43,GF_Budget_Detail!$D$5:$D$295,"Original budget not itemized by department")</f>
        <v/>
      </c>
      <c r="E68" s="22">
        <f>C68-B68</f>
        <v/>
      </c>
      <c r="F68" s="22">
        <f>-(D68-C68)</f>
        <v/>
      </c>
      <c r="G68" s="43">
        <f>-(D68-B68)</f>
        <v/>
      </c>
      <c r="H68" s="33">
        <f>IFERROR(F68/ABS(C68),0)</f>
        <v/>
      </c>
      <c r="I68" s="44">
        <f>IF(AND(ABS(F68)&gt;=$L$2,ABS(H68)&gt;=$L$3),"Explain","")</f>
        <v/>
      </c>
      <c r="J68" s="2" t="n"/>
      <c r="K68" s="2" t="n"/>
      <c r="L68" s="2" t="n"/>
    </row>
    <row r="69">
      <c r="A69" s="12" t="inlineStr">
        <is>
          <t>Total expenditures</t>
        </is>
      </c>
      <c r="B69" s="24">
        <f>SUM(B56:B68)</f>
        <v/>
      </c>
      <c r="C69" s="24">
        <f>SUM(C56:C68)</f>
        <v/>
      </c>
      <c r="D69" s="24">
        <f>SUM(D56:D68)</f>
        <v/>
      </c>
      <c r="E69" s="24">
        <f>C69-B69</f>
        <v/>
      </c>
      <c r="F69" s="24">
        <f>-(D69-C69)</f>
        <v/>
      </c>
      <c r="G69" s="24">
        <f>-(D69-B69)</f>
        <v/>
      </c>
      <c r="H69" s="45">
        <f>IFERROR(F69/ABS(C69),0)</f>
        <v/>
      </c>
      <c r="I69" s="46">
        <f>IF(AND(ABS(F69)&gt;=$L$2,ABS(H69)&gt;=$L$3),"Explain","")</f>
        <v/>
      </c>
      <c r="J69" s="2" t="n"/>
      <c r="K69" s="2" t="n"/>
      <c r="L69" s="2" t="n"/>
    </row>
    <row r="70">
      <c r="A70" s="2" t="n"/>
      <c r="B70" s="2" t="n"/>
      <c r="C70" s="2" t="n"/>
      <c r="D70" s="2" t="n"/>
      <c r="E70" s="2" t="n"/>
      <c r="F70" s="2" t="n"/>
      <c r="G70" s="2" t="n"/>
      <c r="H70" s="2" t="n"/>
      <c r="I70" s="2" t="n"/>
      <c r="J70" s="2" t="n"/>
      <c r="K70" s="2" t="n"/>
      <c r="L70" s="2" t="n"/>
    </row>
    <row r="71">
      <c r="A71" s="21" t="inlineStr">
        <is>
          <t>Transfers in</t>
        </is>
      </c>
      <c r="B71" s="36">
        <f>SUMIFS(GF_Budget_Detail!$E$5:$E$295,GF_Budget_Detail!$A$5:$A$295,$J$43,GF_Budget_Detail!$D$5:$D$295,"Transfers in")</f>
        <v/>
      </c>
      <c r="C71" s="36">
        <f>SUMIFS(GF_Budget_Detail!$F$5:$F$295,GF_Budget_Detail!$A$5:$A$295,$J$43,GF_Budget_Detail!$D$5:$D$295,"Transfers in")</f>
        <v/>
      </c>
      <c r="D71" s="36">
        <f>SUMIFS(GF_Budget_Detail!$G$5:$G$295,GF_Budget_Detail!$A$5:$A$295,$J$43,GF_Budget_Detail!$D$5:$D$295,"Transfers in")</f>
        <v/>
      </c>
      <c r="E71" s="22">
        <f>C71-B71</f>
        <v/>
      </c>
      <c r="F71" s="22">
        <f>(D71-C71)</f>
        <v/>
      </c>
      <c r="G71" s="43">
        <f>(D71-B71)</f>
        <v/>
      </c>
      <c r="H71" s="33">
        <f>IFERROR(F71/ABS(C71),0)</f>
        <v/>
      </c>
      <c r="I71" s="44">
        <f>IF(AND(ABS(F71)&gt;=$L$2,ABS(H71)&gt;=$L$3),"Explain","")</f>
        <v/>
      </c>
      <c r="J71" s="2" t="n"/>
      <c r="K71" s="2" t="n"/>
      <c r="L71" s="2" t="n"/>
    </row>
    <row r="72">
      <c r="A72" s="21" t="inlineStr">
        <is>
          <t>Transfers out</t>
        </is>
      </c>
      <c r="B72" s="36">
        <f>SUMIFS(GF_Budget_Detail!$E$5:$E$295,GF_Budget_Detail!$A$5:$A$295,$J$43,GF_Budget_Detail!$D$5:$D$295,"Transfers out")</f>
        <v/>
      </c>
      <c r="C72" s="36">
        <f>SUMIFS(GF_Budget_Detail!$F$5:$F$295,GF_Budget_Detail!$A$5:$A$295,$J$43,GF_Budget_Detail!$D$5:$D$295,"Transfers out")</f>
        <v/>
      </c>
      <c r="D72" s="36">
        <f>SUMIFS(GF_Budget_Detail!$G$5:$G$295,GF_Budget_Detail!$A$5:$A$295,$J$43,GF_Budget_Detail!$D$5:$D$295,"Transfers out")</f>
        <v/>
      </c>
      <c r="E72" s="22">
        <f>C72-B72</f>
        <v/>
      </c>
      <c r="F72" s="22">
        <f>(D72-C72)</f>
        <v/>
      </c>
      <c r="G72" s="43">
        <f>(D72-B72)</f>
        <v/>
      </c>
      <c r="H72" s="33">
        <f>IFERROR(F72/ABS(C72),0)</f>
        <v/>
      </c>
      <c r="I72" s="44">
        <f>IF(AND(ABS(F72)&gt;=$L$2,ABS(H72)&gt;=$L$3),"Explain","")</f>
        <v/>
      </c>
      <c r="J72" s="2" t="n"/>
      <c r="K72" s="2" t="n"/>
      <c r="L72" s="2" t="n"/>
    </row>
    <row r="73">
      <c r="A73" s="21" t="inlineStr">
        <is>
          <t>Debt / lease financing proceeds</t>
        </is>
      </c>
      <c r="B73" s="36">
        <f>SUMIFS(GF_Budget_Detail!$E$5:$E$295,GF_Budget_Detail!$A$5:$A$295,$J$43,GF_Budget_Detail!$D$5:$D$295,"Debt / lease financing proceeds")</f>
        <v/>
      </c>
      <c r="C73" s="36">
        <f>SUMIFS(GF_Budget_Detail!$F$5:$F$295,GF_Budget_Detail!$A$5:$A$295,$J$43,GF_Budget_Detail!$D$5:$D$295,"Debt / lease financing proceeds")</f>
        <v/>
      </c>
      <c r="D73" s="36">
        <f>SUMIFS(GF_Budget_Detail!$G$5:$G$295,GF_Budget_Detail!$A$5:$A$295,$J$43,GF_Budget_Detail!$D$5:$D$295,"Debt / lease financing proceeds")</f>
        <v/>
      </c>
      <c r="E73" s="22">
        <f>C73-B73</f>
        <v/>
      </c>
      <c r="F73" s="22">
        <f>(D73-C73)</f>
        <v/>
      </c>
      <c r="G73" s="43">
        <f>(D73-B73)</f>
        <v/>
      </c>
      <c r="H73" s="33">
        <f>IFERROR(F73/ABS(C73),0)</f>
        <v/>
      </c>
      <c r="I73" s="44">
        <f>IF(AND(ABS(F73)&gt;=$L$2,ABS(H73)&gt;=$L$3),"Explain","")</f>
        <v/>
      </c>
      <c r="J73" s="2" t="n"/>
      <c r="K73" s="2" t="n"/>
      <c r="L73" s="2" t="n"/>
    </row>
    <row r="74">
      <c r="A74" s="21" t="inlineStr">
        <is>
          <t>Proceeds from sale of capital assets</t>
        </is>
      </c>
      <c r="B74" s="36">
        <f>SUMIFS(GF_Budget_Detail!$E$5:$E$295,GF_Budget_Detail!$A$5:$A$295,$J$43,GF_Budget_Detail!$D$5:$D$295,"Proceeds from sale of capital assets")</f>
        <v/>
      </c>
      <c r="C74" s="36">
        <f>SUMIFS(GF_Budget_Detail!$F$5:$F$295,GF_Budget_Detail!$A$5:$A$295,$J$43,GF_Budget_Detail!$D$5:$D$295,"Proceeds from sale of capital assets")</f>
        <v/>
      </c>
      <c r="D74" s="36">
        <f>SUMIFS(GF_Budget_Detail!$G$5:$G$295,GF_Budget_Detail!$A$5:$A$295,$J$43,GF_Budget_Detail!$D$5:$D$295,"Proceeds from sale of capital assets")</f>
        <v/>
      </c>
      <c r="E74" s="22">
        <f>C74-B74</f>
        <v/>
      </c>
      <c r="F74" s="22">
        <f>(D74-C74)</f>
        <v/>
      </c>
      <c r="G74" s="43">
        <f>(D74-B74)</f>
        <v/>
      </c>
      <c r="H74" s="33">
        <f>IFERROR(F74/ABS(C74),0)</f>
        <v/>
      </c>
      <c r="I74" s="44">
        <f>IF(AND(ABS(F74)&gt;=$L$2,ABS(H74)&gt;=$L$3),"Explain","")</f>
        <v/>
      </c>
      <c r="J74" s="2" t="n"/>
      <c r="K74" s="2" t="n"/>
      <c r="L74" s="2" t="n"/>
    </row>
    <row r="75">
      <c r="A75" s="21" t="inlineStr">
        <is>
          <t>Special items</t>
        </is>
      </c>
      <c r="B75" s="36">
        <f>SUMIFS(GF_Budget_Detail!$E$5:$E$295,GF_Budget_Detail!$A$5:$A$295,$J$43,GF_Budget_Detail!$D$5:$D$295,"Special items")</f>
        <v/>
      </c>
      <c r="C75" s="36">
        <f>SUMIFS(GF_Budget_Detail!$F$5:$F$295,GF_Budget_Detail!$A$5:$A$295,$J$43,GF_Budget_Detail!$D$5:$D$295,"Special items")</f>
        <v/>
      </c>
      <c r="D75" s="36">
        <f>SUMIFS(GF_Budget_Detail!$G$5:$G$295,GF_Budget_Detail!$A$5:$A$295,$J$43,GF_Budget_Detail!$D$5:$D$295,"Special items")</f>
        <v/>
      </c>
      <c r="E75" s="22">
        <f>C75-B75</f>
        <v/>
      </c>
      <c r="F75" s="22">
        <f>(D75-C75)</f>
        <v/>
      </c>
      <c r="G75" s="43">
        <f>(D75-B75)</f>
        <v/>
      </c>
      <c r="H75" s="33">
        <f>IFERROR(F75/ABS(C75),0)</f>
        <v/>
      </c>
      <c r="I75" s="44">
        <f>IF(AND(ABS(F75)&gt;=$L$2,ABS(H75)&gt;=$L$3),"Explain","")</f>
        <v/>
      </c>
      <c r="J75" s="2" t="n"/>
      <c r="K75" s="2" t="n"/>
      <c r="L75" s="2" t="n"/>
    </row>
    <row r="76">
      <c r="A76" s="12" t="inlineStr">
        <is>
          <t>Total other financing sources (uses) and special items</t>
        </is>
      </c>
      <c r="B76" s="24">
        <f>SUM(B71:B75)</f>
        <v/>
      </c>
      <c r="C76" s="24">
        <f>SUM(C71:C75)</f>
        <v/>
      </c>
      <c r="D76" s="24">
        <f>SUM(D71:D75)</f>
        <v/>
      </c>
      <c r="E76" s="24">
        <f>C76-B76</f>
        <v/>
      </c>
      <c r="F76" s="24">
        <f>(D76-C76)</f>
        <v/>
      </c>
      <c r="G76" s="24">
        <f>(D76-B76)</f>
        <v/>
      </c>
      <c r="H76" s="45">
        <f>IFERROR(F76/ABS(C76),0)</f>
        <v/>
      </c>
      <c r="I76" s="46">
        <f>IF(AND(ABS(F76)&gt;=$L$2,ABS(H76)&gt;=$L$3),"Explain","")</f>
        <v/>
      </c>
      <c r="J76" s="2" t="n"/>
      <c r="K76" s="2" t="n"/>
      <c r="L76" s="2" t="n"/>
    </row>
    <row r="77">
      <c r="A77" s="2" t="n"/>
      <c r="B77" s="2" t="n"/>
      <c r="C77" s="2" t="n"/>
      <c r="D77" s="2" t="n"/>
      <c r="E77" s="2" t="n"/>
      <c r="F77" s="2" t="n"/>
      <c r="G77" s="2" t="n"/>
      <c r="H77" s="2" t="n"/>
      <c r="I77" s="2" t="n"/>
      <c r="J77" s="2" t="n"/>
      <c r="K77" s="2" t="n"/>
      <c r="L77" s="2" t="n"/>
    </row>
    <row r="78">
      <c r="A78" s="12" t="inlineStr">
        <is>
          <t>Net change in fund balance</t>
        </is>
      </c>
      <c r="B78" s="31">
        <f>B54-B69+B76</f>
        <v/>
      </c>
      <c r="C78" s="31">
        <f>C54-C69+C76</f>
        <v/>
      </c>
      <c r="D78" s="31">
        <f>D54-D69+D76</f>
        <v/>
      </c>
      <c r="E78" s="31">
        <f>C78-B78</f>
        <v/>
      </c>
      <c r="F78" s="31">
        <f>D78-C78</f>
        <v/>
      </c>
      <c r="G78" s="31">
        <f>D78-B78</f>
        <v/>
      </c>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row r="81">
      <c r="A81" s="16" t="inlineStr">
        <is>
          <t>FY2015-16 (year ended June 30, 2016)  -  Budgetary comparison schedule, General Fund  -  GAAP (modified accrual) budgetary basis</t>
        </is>
      </c>
      <c r="B81" s="39" t="n"/>
      <c r="C81" s="39" t="n"/>
      <c r="D81" s="39" t="n"/>
      <c r="E81" s="39" t="n"/>
      <c r="F81" s="39" t="n"/>
      <c r="G81" s="39" t="n"/>
      <c r="H81" s="39" t="n"/>
      <c r="I81" s="39" t="n"/>
      <c r="J81" s="40" t="n">
        <v>2016</v>
      </c>
      <c r="K81" s="2" t="n"/>
      <c r="L81" s="2" t="n"/>
    </row>
    <row r="82" ht="54" customHeight="1">
      <c r="A82" s="41" t="inlineStr">
        <is>
          <t>Category</t>
        </is>
      </c>
      <c r="B82" s="41" t="inlineStr">
        <is>
          <t>Budgeted amounts - Original</t>
        </is>
      </c>
      <c r="C82" s="41" t="inlineStr">
        <is>
          <t>Budgeted amounts - Final</t>
        </is>
      </c>
      <c r="D82" s="41" t="inlineStr">
        <is>
          <t>Actual amounts (budgetary basis)</t>
        </is>
      </c>
      <c r="E82" s="41" t="inlineStr">
        <is>
          <t>Variance: Original to Final budget, increase (decrease)</t>
        </is>
      </c>
      <c r="F82" s="41" t="inlineStr">
        <is>
          <t>Variance with Final budget, positive (negative)</t>
        </is>
      </c>
      <c r="G82" s="42" t="inlineStr">
        <is>
          <t>Variance with Original budget, positive (negative) [supplementary]</t>
        </is>
      </c>
      <c r="H82" s="41" t="inlineStr">
        <is>
          <t>Variance with Final budget %</t>
        </is>
      </c>
      <c r="I82" s="41" t="inlineStr">
        <is>
          <t>Significant variance? (GASB 103 note candidate)</t>
        </is>
      </c>
      <c r="J82" s="2" t="n"/>
      <c r="K82" s="2" t="n"/>
      <c r="L82" s="2" t="n"/>
    </row>
    <row r="83">
      <c r="A83" s="21" t="inlineStr">
        <is>
          <t>Property taxes</t>
        </is>
      </c>
      <c r="B83" s="36">
        <f>SUMIFS(GF_Budget_Detail!$E$5:$E$295,GF_Budget_Detail!$A$5:$A$295,$J$81,GF_Budget_Detail!$D$5:$D$295,"Property taxes")</f>
        <v/>
      </c>
      <c r="C83" s="36">
        <f>SUMIFS(GF_Budget_Detail!$F$5:$F$295,GF_Budget_Detail!$A$5:$A$295,$J$81,GF_Budget_Detail!$D$5:$D$295,"Property taxes")</f>
        <v/>
      </c>
      <c r="D83" s="36">
        <f>SUMIFS(GF_Budget_Detail!$G$5:$G$295,GF_Budget_Detail!$A$5:$A$295,$J$81,GF_Budget_Detail!$D$5:$D$295,"Property taxes")</f>
        <v/>
      </c>
      <c r="E83" s="22">
        <f>C83-B83</f>
        <v/>
      </c>
      <c r="F83" s="22">
        <f>(D83-C83)</f>
        <v/>
      </c>
      <c r="G83" s="43">
        <f>(D83-B83)</f>
        <v/>
      </c>
      <c r="H83" s="33">
        <f>IFERROR(F83/ABS(C83),0)</f>
        <v/>
      </c>
      <c r="I83" s="44">
        <f>IF(AND(ABS(F83)&gt;=$L$2,ABS(H83)&gt;=$L$3),"Explain","")</f>
        <v/>
      </c>
      <c r="J83" s="2" t="n"/>
      <c r="K83" s="2" t="n"/>
      <c r="L83" s="2" t="n"/>
    </row>
    <row r="84">
      <c r="A84" s="21" t="inlineStr">
        <is>
          <t>Taxes other than property</t>
        </is>
      </c>
      <c r="B84" s="36">
        <f>SUMIFS(GF_Budget_Detail!$E$5:$E$295,GF_Budget_Detail!$A$5:$A$295,$J$81,GF_Budget_Detail!$D$5:$D$295,"Taxes other than property")</f>
        <v/>
      </c>
      <c r="C84" s="36">
        <f>SUMIFS(GF_Budget_Detail!$F$5:$F$295,GF_Budget_Detail!$A$5:$A$295,$J$81,GF_Budget_Detail!$D$5:$D$295,"Taxes other than property")</f>
        <v/>
      </c>
      <c r="D84" s="36">
        <f>SUMIFS(GF_Budget_Detail!$G$5:$G$295,GF_Budget_Detail!$A$5:$A$295,$J$81,GF_Budget_Detail!$D$5:$D$295,"Taxes other than property")</f>
        <v/>
      </c>
      <c r="E84" s="22">
        <f>C84-B84</f>
        <v/>
      </c>
      <c r="F84" s="22">
        <f>(D84-C84)</f>
        <v/>
      </c>
      <c r="G84" s="43">
        <f>(D84-B84)</f>
        <v/>
      </c>
      <c r="H84" s="33">
        <f>IFERROR(F84/ABS(C84),0)</f>
        <v/>
      </c>
      <c r="I84" s="44">
        <f>IF(AND(ABS(F84)&gt;=$L$2,ABS(H84)&gt;=$L$3),"Explain","")</f>
        <v/>
      </c>
      <c r="J84" s="2" t="n"/>
      <c r="K84" s="2" t="n"/>
      <c r="L84" s="2" t="n"/>
    </row>
    <row r="85">
      <c r="A85" s="21" t="inlineStr">
        <is>
          <t>Taxes and assessments (combined)</t>
        </is>
      </c>
      <c r="B85" s="36">
        <f>SUMIFS(GF_Budget_Detail!$E$5:$E$295,GF_Budget_Detail!$A$5:$A$295,$J$81,GF_Budget_Detail!$D$5:$D$295,"Taxes and assessments (combined)")</f>
        <v/>
      </c>
      <c r="C85" s="36">
        <f>SUMIFS(GF_Budget_Detail!$F$5:$F$295,GF_Budget_Detail!$A$5:$A$295,$J$81,GF_Budget_Detail!$D$5:$D$295,"Taxes and assessments (combined)")</f>
        <v/>
      </c>
      <c r="D85" s="36">
        <f>SUMIFS(GF_Budget_Detail!$G$5:$G$295,GF_Budget_Detail!$A$5:$A$295,$J$81,GF_Budget_Detail!$D$5:$D$295,"Taxes and assessments (combined)")</f>
        <v/>
      </c>
      <c r="E85" s="22">
        <f>C85-B85</f>
        <v/>
      </c>
      <c r="F85" s="22">
        <f>(D85-C85)</f>
        <v/>
      </c>
      <c r="G85" s="43">
        <f>(D85-B85)</f>
        <v/>
      </c>
      <c r="H85" s="33">
        <f>IFERROR(F85/ABS(C85),0)</f>
        <v/>
      </c>
      <c r="I85" s="44">
        <f>IF(AND(ABS(F85)&gt;=$L$2,ABS(H85)&gt;=$L$3),"Explain","")</f>
        <v/>
      </c>
      <c r="J85" s="2" t="n"/>
      <c r="K85" s="2" t="n"/>
      <c r="L85" s="2" t="n"/>
    </row>
    <row r="86">
      <c r="A86" s="21" t="inlineStr">
        <is>
          <t>Licenses and permits</t>
        </is>
      </c>
      <c r="B86" s="36">
        <f>SUMIFS(GF_Budget_Detail!$E$5:$E$295,GF_Budget_Detail!$A$5:$A$295,$J$81,GF_Budget_Detail!$D$5:$D$295,"Licenses and permits")</f>
        <v/>
      </c>
      <c r="C86" s="36">
        <f>SUMIFS(GF_Budget_Detail!$F$5:$F$295,GF_Budget_Detail!$A$5:$A$295,$J$81,GF_Budget_Detail!$D$5:$D$295,"Licenses and permits")</f>
        <v/>
      </c>
      <c r="D86" s="36">
        <f>SUMIFS(GF_Budget_Detail!$G$5:$G$295,GF_Budget_Detail!$A$5:$A$295,$J$81,GF_Budget_Detail!$D$5:$D$295,"Licenses and permits")</f>
        <v/>
      </c>
      <c r="E86" s="22">
        <f>C86-B86</f>
        <v/>
      </c>
      <c r="F86" s="22">
        <f>(D86-C86)</f>
        <v/>
      </c>
      <c r="G86" s="43">
        <f>(D86-B86)</f>
        <v/>
      </c>
      <c r="H86" s="33">
        <f>IFERROR(F86/ABS(C86),0)</f>
        <v/>
      </c>
      <c r="I86" s="44">
        <f>IF(AND(ABS(F86)&gt;=$L$2,ABS(H86)&gt;=$L$3),"Explain","")</f>
        <v/>
      </c>
      <c r="J86" s="2" t="n"/>
      <c r="K86" s="2" t="n"/>
      <c r="L86" s="2" t="n"/>
    </row>
    <row r="87">
      <c r="A87" s="21" t="inlineStr">
        <is>
          <t>Fines and forfeitures</t>
        </is>
      </c>
      <c r="B87" s="36">
        <f>SUMIFS(GF_Budget_Detail!$E$5:$E$295,GF_Budget_Detail!$A$5:$A$295,$J$81,GF_Budget_Detail!$D$5:$D$295,"Fines and forfeitures")</f>
        <v/>
      </c>
      <c r="C87" s="36">
        <f>SUMIFS(GF_Budget_Detail!$F$5:$F$295,GF_Budget_Detail!$A$5:$A$295,$J$81,GF_Budget_Detail!$D$5:$D$295,"Fines and forfeitures")</f>
        <v/>
      </c>
      <c r="D87" s="36">
        <f>SUMIFS(GF_Budget_Detail!$G$5:$G$295,GF_Budget_Detail!$A$5:$A$295,$J$81,GF_Budget_Detail!$D$5:$D$295,"Fines and forfeitures")</f>
        <v/>
      </c>
      <c r="E87" s="22">
        <f>C87-B87</f>
        <v/>
      </c>
      <c r="F87" s="22">
        <f>(D87-C87)</f>
        <v/>
      </c>
      <c r="G87" s="43">
        <f>(D87-B87)</f>
        <v/>
      </c>
      <c r="H87" s="33">
        <f>IFERROR(F87/ABS(C87),0)</f>
        <v/>
      </c>
      <c r="I87" s="44">
        <f>IF(AND(ABS(F87)&gt;=$L$2,ABS(H87)&gt;=$L$3),"Explain","")</f>
        <v/>
      </c>
      <c r="J87" s="2" t="n"/>
      <c r="K87" s="2" t="n"/>
      <c r="L87" s="2" t="n"/>
    </row>
    <row r="88">
      <c r="A88" s="21" t="inlineStr">
        <is>
          <t>Use of money and property</t>
        </is>
      </c>
      <c r="B88" s="36">
        <f>SUMIFS(GF_Budget_Detail!$E$5:$E$295,GF_Budget_Detail!$A$5:$A$295,$J$81,GF_Budget_Detail!$D$5:$D$295,"Use of money and property")</f>
        <v/>
      </c>
      <c r="C88" s="36">
        <f>SUMIFS(GF_Budget_Detail!$F$5:$F$295,GF_Budget_Detail!$A$5:$A$295,$J$81,GF_Budget_Detail!$D$5:$D$295,"Use of money and property")</f>
        <v/>
      </c>
      <c r="D88" s="36">
        <f>SUMIFS(GF_Budget_Detail!$G$5:$G$295,GF_Budget_Detail!$A$5:$A$295,$J$81,GF_Budget_Detail!$D$5:$D$295,"Use of money and property")</f>
        <v/>
      </c>
      <c r="E88" s="22">
        <f>C88-B88</f>
        <v/>
      </c>
      <c r="F88" s="22">
        <f>(D88-C88)</f>
        <v/>
      </c>
      <c r="G88" s="43">
        <f>(D88-B88)</f>
        <v/>
      </c>
      <c r="H88" s="33">
        <f>IFERROR(F88/ABS(C88),0)</f>
        <v/>
      </c>
      <c r="I88" s="44">
        <f>IF(AND(ABS(F88)&gt;=$L$2,ABS(H88)&gt;=$L$3),"Explain","")</f>
        <v/>
      </c>
      <c r="J88" s="2" t="n"/>
      <c r="K88" s="2" t="n"/>
      <c r="L88" s="2" t="n"/>
    </row>
    <row r="89">
      <c r="A89" s="21" t="inlineStr">
        <is>
          <t>Intergovernmental</t>
        </is>
      </c>
      <c r="B89" s="36">
        <f>SUMIFS(GF_Budget_Detail!$E$5:$E$295,GF_Budget_Detail!$A$5:$A$295,$J$81,GF_Budget_Detail!$D$5:$D$295,"Intergovernmental")</f>
        <v/>
      </c>
      <c r="C89" s="36">
        <f>SUMIFS(GF_Budget_Detail!$F$5:$F$295,GF_Budget_Detail!$A$5:$A$295,$J$81,GF_Budget_Detail!$D$5:$D$295,"Intergovernmental")</f>
        <v/>
      </c>
      <c r="D89" s="36">
        <f>SUMIFS(GF_Budget_Detail!$G$5:$G$295,GF_Budget_Detail!$A$5:$A$295,$J$81,GF_Budget_Detail!$D$5:$D$295,"Intergovernmental")</f>
        <v/>
      </c>
      <c r="E89" s="22">
        <f>C89-B89</f>
        <v/>
      </c>
      <c r="F89" s="22">
        <f>(D89-C89)</f>
        <v/>
      </c>
      <c r="G89" s="43">
        <f>(D89-B89)</f>
        <v/>
      </c>
      <c r="H89" s="33">
        <f>IFERROR(F89/ABS(C89),0)</f>
        <v/>
      </c>
      <c r="I89" s="44">
        <f>IF(AND(ABS(F89)&gt;=$L$2,ABS(H89)&gt;=$L$3),"Explain","")</f>
        <v/>
      </c>
      <c r="J89" s="2" t="n"/>
      <c r="K89" s="2" t="n"/>
      <c r="L89" s="2" t="n"/>
    </row>
    <row r="90">
      <c r="A90" s="21" t="inlineStr">
        <is>
          <t>Charges for services</t>
        </is>
      </c>
      <c r="B90" s="36">
        <f>SUMIFS(GF_Budget_Detail!$E$5:$E$295,GF_Budget_Detail!$A$5:$A$295,$J$81,GF_Budget_Detail!$D$5:$D$295,"Charges for services")</f>
        <v/>
      </c>
      <c r="C90" s="36">
        <f>SUMIFS(GF_Budget_Detail!$F$5:$F$295,GF_Budget_Detail!$A$5:$A$295,$J$81,GF_Budget_Detail!$D$5:$D$295,"Charges for services")</f>
        <v/>
      </c>
      <c r="D90" s="36">
        <f>SUMIFS(GF_Budget_Detail!$G$5:$G$295,GF_Budget_Detail!$A$5:$A$295,$J$81,GF_Budget_Detail!$D$5:$D$295,"Charges for services")</f>
        <v/>
      </c>
      <c r="E90" s="22">
        <f>C90-B90</f>
        <v/>
      </c>
      <c r="F90" s="22">
        <f>(D90-C90)</f>
        <v/>
      </c>
      <c r="G90" s="43">
        <f>(D90-B90)</f>
        <v/>
      </c>
      <c r="H90" s="33">
        <f>IFERROR(F90/ABS(C90),0)</f>
        <v/>
      </c>
      <c r="I90" s="44">
        <f>IF(AND(ABS(F90)&gt;=$L$2,ABS(H90)&gt;=$L$3),"Explain","")</f>
        <v/>
      </c>
      <c r="J90" s="2" t="n"/>
      <c r="K90" s="2" t="n"/>
      <c r="L90" s="2" t="n"/>
    </row>
    <row r="91">
      <c r="A91" s="21" t="inlineStr">
        <is>
          <t>Other revenues</t>
        </is>
      </c>
      <c r="B91" s="36">
        <f>SUMIFS(GF_Budget_Detail!$E$5:$E$295,GF_Budget_Detail!$A$5:$A$295,$J$81,GF_Budget_Detail!$D$5:$D$295,"Other revenues")</f>
        <v/>
      </c>
      <c r="C91" s="36">
        <f>SUMIFS(GF_Budget_Detail!$F$5:$F$295,GF_Budget_Detail!$A$5:$A$295,$J$81,GF_Budget_Detail!$D$5:$D$295,"Other revenues")</f>
        <v/>
      </c>
      <c r="D91" s="36">
        <f>SUMIFS(GF_Budget_Detail!$G$5:$G$295,GF_Budget_Detail!$A$5:$A$295,$J$81,GF_Budget_Detail!$D$5:$D$295,"Other revenues")</f>
        <v/>
      </c>
      <c r="E91" s="22">
        <f>C91-B91</f>
        <v/>
      </c>
      <c r="F91" s="22">
        <f>(D91-C91)</f>
        <v/>
      </c>
      <c r="G91" s="43">
        <f>(D91-B91)</f>
        <v/>
      </c>
      <c r="H91" s="33">
        <f>IFERROR(F91/ABS(C91),0)</f>
        <v/>
      </c>
      <c r="I91" s="44">
        <f>IF(AND(ABS(F91)&gt;=$L$2,ABS(H91)&gt;=$L$3),"Explain","")</f>
        <v/>
      </c>
      <c r="J91" s="2" t="n"/>
      <c r="K91" s="2" t="n"/>
      <c r="L91" s="2" t="n"/>
    </row>
    <row r="92">
      <c r="A92" s="12" t="inlineStr">
        <is>
          <t>Total revenues</t>
        </is>
      </c>
      <c r="B92" s="24">
        <f>SUM(B83:B91)</f>
        <v/>
      </c>
      <c r="C92" s="24">
        <f>SUM(C83:C91)</f>
        <v/>
      </c>
      <c r="D92" s="24">
        <f>SUM(D83:D91)</f>
        <v/>
      </c>
      <c r="E92" s="24">
        <f>C92-B92</f>
        <v/>
      </c>
      <c r="F92" s="24">
        <f>(D92-C92)</f>
        <v/>
      </c>
      <c r="G92" s="24">
        <f>(D92-B92)</f>
        <v/>
      </c>
      <c r="H92" s="45">
        <f>IFERROR(F92/ABS(C92),0)</f>
        <v/>
      </c>
      <c r="I92" s="46">
        <f>IF(AND(ABS(F92)&gt;=$L$2,ABS(H92)&gt;=$L$3),"Explain","")</f>
        <v/>
      </c>
      <c r="J92" s="2" t="n"/>
      <c r="K92" s="2" t="n"/>
      <c r="L92" s="2" t="n"/>
    </row>
    <row r="93">
      <c r="A93" s="2" t="n"/>
      <c r="B93" s="2" t="n"/>
      <c r="C93" s="2" t="n"/>
      <c r="D93" s="2" t="n"/>
      <c r="E93" s="2" t="n"/>
      <c r="F93" s="2" t="n"/>
      <c r="G93" s="2" t="n"/>
      <c r="H93" s="2" t="n"/>
      <c r="I93" s="2" t="n"/>
      <c r="J93" s="2" t="n"/>
      <c r="K93" s="2" t="n"/>
      <c r="L93" s="2" t="n"/>
    </row>
    <row r="94">
      <c r="A94" s="21" t="inlineStr">
        <is>
          <t>General government</t>
        </is>
      </c>
      <c r="B94" s="36">
        <f>SUMIFS(GF_Budget_Detail!$E$5:$E$295,GF_Budget_Detail!$A$5:$A$295,$J$81,GF_Budget_Detail!$D$5:$D$295,"General government")</f>
        <v/>
      </c>
      <c r="C94" s="36">
        <f>SUMIFS(GF_Budget_Detail!$F$5:$F$295,GF_Budget_Detail!$A$5:$A$295,$J$81,GF_Budget_Detail!$D$5:$D$295,"General government")</f>
        <v/>
      </c>
      <c r="D94" s="36">
        <f>SUMIFS(GF_Budget_Detail!$G$5:$G$295,GF_Budget_Detail!$A$5:$A$295,$J$81,GF_Budget_Detail!$D$5:$D$295,"General government")</f>
        <v/>
      </c>
      <c r="E94" s="22">
        <f>C94-B94</f>
        <v/>
      </c>
      <c r="F94" s="22">
        <f>-(D94-C94)</f>
        <v/>
      </c>
      <c r="G94" s="43">
        <f>-(D94-B94)</f>
        <v/>
      </c>
      <c r="H94" s="33">
        <f>IFERROR(F94/ABS(C94),0)</f>
        <v/>
      </c>
      <c r="I94" s="44">
        <f>IF(AND(ABS(F94)&gt;=$L$2,ABS(H94)&gt;=$L$3),"Explain","")</f>
        <v/>
      </c>
      <c r="J94" s="2" t="n"/>
      <c r="K94" s="2" t="n"/>
      <c r="L94" s="2" t="n"/>
    </row>
    <row r="95">
      <c r="A95" s="21" t="inlineStr">
        <is>
          <t>Public works</t>
        </is>
      </c>
      <c r="B95" s="36">
        <f>SUMIFS(GF_Budget_Detail!$E$5:$E$295,GF_Budget_Detail!$A$5:$A$295,$J$81,GF_Budget_Detail!$D$5:$D$295,"Public works")</f>
        <v/>
      </c>
      <c r="C95" s="36">
        <f>SUMIFS(GF_Budget_Detail!$F$5:$F$295,GF_Budget_Detail!$A$5:$A$295,$J$81,GF_Budget_Detail!$D$5:$D$295,"Public works")</f>
        <v/>
      </c>
      <c r="D95" s="36">
        <f>SUMIFS(GF_Budget_Detail!$G$5:$G$295,GF_Budget_Detail!$A$5:$A$295,$J$81,GF_Budget_Detail!$D$5:$D$295,"Public works")</f>
        <v/>
      </c>
      <c r="E95" s="22">
        <f>C95-B95</f>
        <v/>
      </c>
      <c r="F95" s="22">
        <f>-(D95-C95)</f>
        <v/>
      </c>
      <c r="G95" s="43">
        <f>-(D95-B95)</f>
        <v/>
      </c>
      <c r="H95" s="33">
        <f>IFERROR(F95/ABS(C95),0)</f>
        <v/>
      </c>
      <c r="I95" s="44">
        <f>IF(AND(ABS(F95)&gt;=$L$2,ABS(H95)&gt;=$L$3),"Explain","")</f>
        <v/>
      </c>
      <c r="J95" s="2" t="n"/>
      <c r="K95" s="2" t="n"/>
      <c r="L95" s="2" t="n"/>
    </row>
    <row r="96">
      <c r="A96" s="21" t="inlineStr">
        <is>
          <t>Recreation</t>
        </is>
      </c>
      <c r="B96" s="36">
        <f>SUMIFS(GF_Budget_Detail!$E$5:$E$295,GF_Budget_Detail!$A$5:$A$295,$J$81,GF_Budget_Detail!$D$5:$D$295,"Recreation")</f>
        <v/>
      </c>
      <c r="C96" s="36">
        <f>SUMIFS(GF_Budget_Detail!$F$5:$F$295,GF_Budget_Detail!$A$5:$A$295,$J$81,GF_Budget_Detail!$D$5:$D$295,"Recreation")</f>
        <v/>
      </c>
      <c r="D96" s="36">
        <f>SUMIFS(GF_Budget_Detail!$G$5:$G$295,GF_Budget_Detail!$A$5:$A$295,$J$81,GF_Budget_Detail!$D$5:$D$295,"Recreation")</f>
        <v/>
      </c>
      <c r="E96" s="22">
        <f>C96-B96</f>
        <v/>
      </c>
      <c r="F96" s="22">
        <f>-(D96-C96)</f>
        <v/>
      </c>
      <c r="G96" s="43">
        <f>-(D96-B96)</f>
        <v/>
      </c>
      <c r="H96" s="33">
        <f>IFERROR(F96/ABS(C96),0)</f>
        <v/>
      </c>
      <c r="I96" s="44">
        <f>IF(AND(ABS(F96)&gt;=$L$2,ABS(H96)&gt;=$L$3),"Explain","")</f>
        <v/>
      </c>
      <c r="J96" s="2" t="n"/>
      <c r="K96" s="2" t="n"/>
      <c r="L96" s="2" t="n"/>
    </row>
    <row r="97">
      <c r="A97" s="21" t="inlineStr">
        <is>
          <t>Community development</t>
        </is>
      </c>
      <c r="B97" s="36">
        <f>SUMIFS(GF_Budget_Detail!$E$5:$E$295,GF_Budget_Detail!$A$5:$A$295,$J$81,GF_Budget_Detail!$D$5:$D$295,"Community development")</f>
        <v/>
      </c>
      <c r="C97" s="36">
        <f>SUMIFS(GF_Budget_Detail!$F$5:$F$295,GF_Budget_Detail!$A$5:$A$295,$J$81,GF_Budget_Detail!$D$5:$D$295,"Community development")</f>
        <v/>
      </c>
      <c r="D97" s="36">
        <f>SUMIFS(GF_Budget_Detail!$G$5:$G$295,GF_Budget_Detail!$A$5:$A$295,$J$81,GF_Budget_Detail!$D$5:$D$295,"Community development")</f>
        <v/>
      </c>
      <c r="E97" s="22">
        <f>C97-B97</f>
        <v/>
      </c>
      <c r="F97" s="22">
        <f>-(D97-C97)</f>
        <v/>
      </c>
      <c r="G97" s="43">
        <f>-(D97-B97)</f>
        <v/>
      </c>
      <c r="H97" s="33">
        <f>IFERROR(F97/ABS(C97),0)</f>
        <v/>
      </c>
      <c r="I97" s="44">
        <f>IF(AND(ABS(F97)&gt;=$L$2,ABS(H97)&gt;=$L$3),"Explain","")</f>
        <v/>
      </c>
      <c r="J97" s="2" t="n"/>
      <c r="K97" s="2" t="n"/>
      <c r="L97" s="2" t="n"/>
    </row>
    <row r="98">
      <c r="A98" s="21" t="inlineStr">
        <is>
          <t>Public safety - Police</t>
        </is>
      </c>
      <c r="B98" s="36">
        <f>SUMIFS(GF_Budget_Detail!$E$5:$E$295,GF_Budget_Detail!$A$5:$A$295,$J$81,GF_Budget_Detail!$D$5:$D$295,"Public safety - Police")</f>
        <v/>
      </c>
      <c r="C98" s="36">
        <f>SUMIFS(GF_Budget_Detail!$F$5:$F$295,GF_Budget_Detail!$A$5:$A$295,$J$81,GF_Budget_Detail!$D$5:$D$295,"Public safety - Police")</f>
        <v/>
      </c>
      <c r="D98" s="36">
        <f>SUMIFS(GF_Budget_Detail!$G$5:$G$295,GF_Budget_Detail!$A$5:$A$295,$J$81,GF_Budget_Detail!$D$5:$D$295,"Public safety - Police")</f>
        <v/>
      </c>
      <c r="E98" s="22">
        <f>C98-B98</f>
        <v/>
      </c>
      <c r="F98" s="22">
        <f>-(D98-C98)</f>
        <v/>
      </c>
      <c r="G98" s="43">
        <f>-(D98-B98)</f>
        <v/>
      </c>
      <c r="H98" s="33">
        <f>IFERROR(F98/ABS(C98),0)</f>
        <v/>
      </c>
      <c r="I98" s="44">
        <f>IF(AND(ABS(F98)&gt;=$L$2,ABS(H98)&gt;=$L$3),"Explain","")</f>
        <v/>
      </c>
      <c r="J98" s="2" t="n"/>
      <c r="K98" s="2" t="n"/>
      <c r="L98" s="2" t="n"/>
    </row>
    <row r="99">
      <c r="A99" s="21" t="inlineStr">
        <is>
          <t>Public safety - Fire</t>
        </is>
      </c>
      <c r="B99" s="36">
        <f>SUMIFS(GF_Budget_Detail!$E$5:$E$295,GF_Budget_Detail!$A$5:$A$295,$J$81,GF_Budget_Detail!$D$5:$D$295,"Public safety - Fire")</f>
        <v/>
      </c>
      <c r="C99" s="36">
        <f>SUMIFS(GF_Budget_Detail!$F$5:$F$295,GF_Budget_Detail!$A$5:$A$295,$J$81,GF_Budget_Detail!$D$5:$D$295,"Public safety - Fire")</f>
        <v/>
      </c>
      <c r="D99" s="36">
        <f>SUMIFS(GF_Budget_Detail!$G$5:$G$295,GF_Budget_Detail!$A$5:$A$295,$J$81,GF_Budget_Detail!$D$5:$D$295,"Public safety - Fire")</f>
        <v/>
      </c>
      <c r="E99" s="22">
        <f>C99-B99</f>
        <v/>
      </c>
      <c r="F99" s="22">
        <f>-(D99-C99)</f>
        <v/>
      </c>
      <c r="G99" s="43">
        <f>-(D99-B99)</f>
        <v/>
      </c>
      <c r="H99" s="33">
        <f>IFERROR(F99/ABS(C99),0)</f>
        <v/>
      </c>
      <c r="I99" s="44">
        <f>IF(AND(ABS(F99)&gt;=$L$2,ABS(H99)&gt;=$L$3),"Explain","")</f>
        <v/>
      </c>
      <c r="J99" s="2" t="n"/>
      <c r="K99" s="2" t="n"/>
      <c r="L99" s="2" t="n"/>
    </row>
    <row r="100">
      <c r="A100" s="21" t="inlineStr">
        <is>
          <t>Public safety (combined)</t>
        </is>
      </c>
      <c r="B100" s="36">
        <f>SUMIFS(GF_Budget_Detail!$E$5:$E$295,GF_Budget_Detail!$A$5:$A$295,$J$81,GF_Budget_Detail!$D$5:$D$295,"Public safety (combined)")</f>
        <v/>
      </c>
      <c r="C100" s="36">
        <f>SUMIFS(GF_Budget_Detail!$F$5:$F$295,GF_Budget_Detail!$A$5:$A$295,$J$81,GF_Budget_Detail!$D$5:$D$295,"Public safety (combined)")</f>
        <v/>
      </c>
      <c r="D100" s="36">
        <f>SUMIFS(GF_Budget_Detail!$G$5:$G$295,GF_Budget_Detail!$A$5:$A$295,$J$81,GF_Budget_Detail!$D$5:$D$295,"Public safety (combined)")</f>
        <v/>
      </c>
      <c r="E100" s="22">
        <f>C100-B100</f>
        <v/>
      </c>
      <c r="F100" s="22">
        <f>-(D100-C100)</f>
        <v/>
      </c>
      <c r="G100" s="43">
        <f>-(D100-B100)</f>
        <v/>
      </c>
      <c r="H100" s="33">
        <f>IFERROR(F100/ABS(C100),0)</f>
        <v/>
      </c>
      <c r="I100" s="44">
        <f>IF(AND(ABS(F100)&gt;=$L$2,ABS(H100)&gt;=$L$3),"Explain","")</f>
        <v/>
      </c>
      <c r="J100" s="2" t="n"/>
      <c r="K100" s="2" t="n"/>
      <c r="L100" s="2" t="n"/>
    </row>
    <row r="101">
      <c r="A101" s="21" t="inlineStr">
        <is>
          <t>Payment of sales tax to City of Richmond</t>
        </is>
      </c>
      <c r="B101" s="36">
        <f>SUMIFS(GF_Budget_Detail!$E$5:$E$295,GF_Budget_Detail!$A$5:$A$295,$J$81,GF_Budget_Detail!$D$5:$D$295,"Payment of sales tax to City of Richmond")</f>
        <v/>
      </c>
      <c r="C101" s="36">
        <f>SUMIFS(GF_Budget_Detail!$F$5:$F$295,GF_Budget_Detail!$A$5:$A$295,$J$81,GF_Budget_Detail!$D$5:$D$295,"Payment of sales tax to City of Richmond")</f>
        <v/>
      </c>
      <c r="D101" s="36">
        <f>SUMIFS(GF_Budget_Detail!$G$5:$G$295,GF_Budget_Detail!$A$5:$A$295,$J$81,GF_Budget_Detail!$D$5:$D$295,"Payment of sales tax to City of Richmond")</f>
        <v/>
      </c>
      <c r="E101" s="22">
        <f>C101-B101</f>
        <v/>
      </c>
      <c r="F101" s="22">
        <f>-(D101-C101)</f>
        <v/>
      </c>
      <c r="G101" s="43">
        <f>-(D101-B101)</f>
        <v/>
      </c>
      <c r="H101" s="33">
        <f>IFERROR(F101/ABS(C101),0)</f>
        <v/>
      </c>
      <c r="I101" s="44">
        <f>IF(AND(ABS(F101)&gt;=$L$2,ABS(H101)&gt;=$L$3),"Explain","")</f>
        <v/>
      </c>
      <c r="J101" s="2" t="n"/>
      <c r="K101" s="2" t="n"/>
      <c r="L101" s="2" t="n"/>
    </row>
    <row r="102">
      <c r="A102" s="21" t="inlineStr">
        <is>
          <t>Capital outlay</t>
        </is>
      </c>
      <c r="B102" s="36">
        <f>SUMIFS(GF_Budget_Detail!$E$5:$E$295,GF_Budget_Detail!$A$5:$A$295,$J$81,GF_Budget_Detail!$D$5:$D$295,"Capital outlay")</f>
        <v/>
      </c>
      <c r="C102" s="36">
        <f>SUMIFS(GF_Budget_Detail!$F$5:$F$295,GF_Budget_Detail!$A$5:$A$295,$J$81,GF_Budget_Detail!$D$5:$D$295,"Capital outlay")</f>
        <v/>
      </c>
      <c r="D102" s="36">
        <f>SUMIFS(GF_Budget_Detail!$G$5:$G$295,GF_Budget_Detail!$A$5:$A$295,$J$81,GF_Budget_Detail!$D$5:$D$295,"Capital outlay")</f>
        <v/>
      </c>
      <c r="E102" s="22">
        <f>C102-B102</f>
        <v/>
      </c>
      <c r="F102" s="22">
        <f>-(D102-C102)</f>
        <v/>
      </c>
      <c r="G102" s="43">
        <f>-(D102-B102)</f>
        <v/>
      </c>
      <c r="H102" s="33">
        <f>IFERROR(F102/ABS(C102),0)</f>
        <v/>
      </c>
      <c r="I102" s="44">
        <f>IF(AND(ABS(F102)&gt;=$L$2,ABS(H102)&gt;=$L$3),"Explain","")</f>
        <v/>
      </c>
      <c r="J102" s="2" t="n"/>
      <c r="K102" s="2" t="n"/>
      <c r="L102" s="2" t="n"/>
    </row>
    <row r="103">
      <c r="A103" s="21" t="inlineStr">
        <is>
          <t>Debt service - principal</t>
        </is>
      </c>
      <c r="B103" s="36">
        <f>SUMIFS(GF_Budget_Detail!$E$5:$E$295,GF_Budget_Detail!$A$5:$A$295,$J$81,GF_Budget_Detail!$D$5:$D$295,"Debt service - principal")</f>
        <v/>
      </c>
      <c r="C103" s="36">
        <f>SUMIFS(GF_Budget_Detail!$F$5:$F$295,GF_Budget_Detail!$A$5:$A$295,$J$81,GF_Budget_Detail!$D$5:$D$295,"Debt service - principal")</f>
        <v/>
      </c>
      <c r="D103" s="36">
        <f>SUMIFS(GF_Budget_Detail!$G$5:$G$295,GF_Budget_Detail!$A$5:$A$295,$J$81,GF_Budget_Detail!$D$5:$D$295,"Debt service - principal")</f>
        <v/>
      </c>
      <c r="E103" s="22">
        <f>C103-B103</f>
        <v/>
      </c>
      <c r="F103" s="22">
        <f>-(D103-C103)</f>
        <v/>
      </c>
      <c r="G103" s="43">
        <f>-(D103-B103)</f>
        <v/>
      </c>
      <c r="H103" s="33">
        <f>IFERROR(F103/ABS(C103),0)</f>
        <v/>
      </c>
      <c r="I103" s="44">
        <f>IF(AND(ABS(F103)&gt;=$L$2,ABS(H103)&gt;=$L$3),"Explain","")</f>
        <v/>
      </c>
      <c r="J103" s="2" t="n"/>
      <c r="K103" s="2" t="n"/>
      <c r="L103" s="2" t="n"/>
    </row>
    <row r="104">
      <c r="A104" s="21" t="inlineStr">
        <is>
          <t>Debt service - interest</t>
        </is>
      </c>
      <c r="B104" s="36">
        <f>SUMIFS(GF_Budget_Detail!$E$5:$E$295,GF_Budget_Detail!$A$5:$A$295,$J$81,GF_Budget_Detail!$D$5:$D$295,"Debt service - interest")</f>
        <v/>
      </c>
      <c r="C104" s="36">
        <f>SUMIFS(GF_Budget_Detail!$F$5:$F$295,GF_Budget_Detail!$A$5:$A$295,$J$81,GF_Budget_Detail!$D$5:$D$295,"Debt service - interest")</f>
        <v/>
      </c>
      <c r="D104" s="36">
        <f>SUMIFS(GF_Budget_Detail!$G$5:$G$295,GF_Budget_Detail!$A$5:$A$295,$J$81,GF_Budget_Detail!$D$5:$D$295,"Debt service - interest")</f>
        <v/>
      </c>
      <c r="E104" s="22">
        <f>C104-B104</f>
        <v/>
      </c>
      <c r="F104" s="22">
        <f>-(D104-C104)</f>
        <v/>
      </c>
      <c r="G104" s="43">
        <f>-(D104-B104)</f>
        <v/>
      </c>
      <c r="H104" s="33">
        <f>IFERROR(F104/ABS(C104),0)</f>
        <v/>
      </c>
      <c r="I104" s="44">
        <f>IF(AND(ABS(F104)&gt;=$L$2,ABS(H104)&gt;=$L$3),"Explain","")</f>
        <v/>
      </c>
      <c r="J104" s="2" t="n"/>
      <c r="K104" s="2" t="n"/>
      <c r="L104" s="2" t="n"/>
    </row>
    <row r="105">
      <c r="A105" s="21" t="inlineStr">
        <is>
          <t>Non-departmental (budget-report basis)</t>
        </is>
      </c>
      <c r="B105" s="36">
        <f>SUMIFS(GF_Budget_Detail!$E$5:$E$295,GF_Budget_Detail!$A$5:$A$295,$J$81,GF_Budget_Detail!$D$5:$D$295,"Non-departmental (budget-report basis)")</f>
        <v/>
      </c>
      <c r="C105" s="36">
        <f>SUMIFS(GF_Budget_Detail!$F$5:$F$295,GF_Budget_Detail!$A$5:$A$295,$J$81,GF_Budget_Detail!$D$5:$D$295,"Non-departmental (budget-report basis)")</f>
        <v/>
      </c>
      <c r="D105" s="36">
        <f>SUMIFS(GF_Budget_Detail!$G$5:$G$295,GF_Budget_Detail!$A$5:$A$295,$J$81,GF_Budget_Detail!$D$5:$D$295,"Non-departmental (budget-report basis)")</f>
        <v/>
      </c>
      <c r="E105" s="22">
        <f>C105-B105</f>
        <v/>
      </c>
      <c r="F105" s="22">
        <f>-(D105-C105)</f>
        <v/>
      </c>
      <c r="G105" s="43">
        <f>-(D105-B105)</f>
        <v/>
      </c>
      <c r="H105" s="33">
        <f>IFERROR(F105/ABS(C105),0)</f>
        <v/>
      </c>
      <c r="I105" s="44">
        <f>IF(AND(ABS(F105)&gt;=$L$2,ABS(H105)&gt;=$L$3),"Explain","")</f>
        <v/>
      </c>
      <c r="J105" s="2" t="n"/>
      <c r="K105" s="2" t="n"/>
      <c r="L105" s="2" t="n"/>
    </row>
    <row r="106">
      <c r="A106" s="21" t="inlineStr">
        <is>
          <t>Original budget not itemized by department</t>
        </is>
      </c>
      <c r="B106" s="36">
        <f>SUMIFS(GF_Budget_Detail!$E$5:$E$295,GF_Budget_Detail!$A$5:$A$295,$J$81,GF_Budget_Detail!$D$5:$D$295,"Original budget not itemized by department")</f>
        <v/>
      </c>
      <c r="C106" s="36">
        <f>SUMIFS(GF_Budget_Detail!$F$5:$F$295,GF_Budget_Detail!$A$5:$A$295,$J$81,GF_Budget_Detail!$D$5:$D$295,"Original budget not itemized by department")</f>
        <v/>
      </c>
      <c r="D106" s="36">
        <f>SUMIFS(GF_Budget_Detail!$G$5:$G$295,GF_Budget_Detail!$A$5:$A$295,$J$81,GF_Budget_Detail!$D$5:$D$295,"Original budget not itemized by department")</f>
        <v/>
      </c>
      <c r="E106" s="22">
        <f>C106-B106</f>
        <v/>
      </c>
      <c r="F106" s="22">
        <f>-(D106-C106)</f>
        <v/>
      </c>
      <c r="G106" s="43">
        <f>-(D106-B106)</f>
        <v/>
      </c>
      <c r="H106" s="33">
        <f>IFERROR(F106/ABS(C106),0)</f>
        <v/>
      </c>
      <c r="I106" s="44">
        <f>IF(AND(ABS(F106)&gt;=$L$2,ABS(H106)&gt;=$L$3),"Explain","")</f>
        <v/>
      </c>
      <c r="J106" s="2" t="n"/>
      <c r="K106" s="2" t="n"/>
      <c r="L106" s="2" t="n"/>
    </row>
    <row r="107">
      <c r="A107" s="12" t="inlineStr">
        <is>
          <t>Total expenditures</t>
        </is>
      </c>
      <c r="B107" s="24">
        <f>SUM(B94:B106)</f>
        <v/>
      </c>
      <c r="C107" s="24">
        <f>SUM(C94:C106)</f>
        <v/>
      </c>
      <c r="D107" s="24">
        <f>SUM(D94:D106)</f>
        <v/>
      </c>
      <c r="E107" s="24">
        <f>C107-B107</f>
        <v/>
      </c>
      <c r="F107" s="24">
        <f>-(D107-C107)</f>
        <v/>
      </c>
      <c r="G107" s="24">
        <f>-(D107-B107)</f>
        <v/>
      </c>
      <c r="H107" s="45">
        <f>IFERROR(F107/ABS(C107),0)</f>
        <v/>
      </c>
      <c r="I107" s="46">
        <f>IF(AND(ABS(F107)&gt;=$L$2,ABS(H107)&gt;=$L$3),"Explain","")</f>
        <v/>
      </c>
      <c r="J107" s="2" t="n"/>
      <c r="K107" s="2" t="n"/>
      <c r="L107" s="2" t="n"/>
    </row>
    <row r="108">
      <c r="A108" s="2" t="n"/>
      <c r="B108" s="2" t="n"/>
      <c r="C108" s="2" t="n"/>
      <c r="D108" s="2" t="n"/>
      <c r="E108" s="2" t="n"/>
      <c r="F108" s="2" t="n"/>
      <c r="G108" s="2" t="n"/>
      <c r="H108" s="2" t="n"/>
      <c r="I108" s="2" t="n"/>
      <c r="J108" s="2" t="n"/>
      <c r="K108" s="2" t="n"/>
      <c r="L108" s="2" t="n"/>
    </row>
    <row r="109">
      <c r="A109" s="21" t="inlineStr">
        <is>
          <t>Transfers in</t>
        </is>
      </c>
      <c r="B109" s="36">
        <f>SUMIFS(GF_Budget_Detail!$E$5:$E$295,GF_Budget_Detail!$A$5:$A$295,$J$81,GF_Budget_Detail!$D$5:$D$295,"Transfers in")</f>
        <v/>
      </c>
      <c r="C109" s="36">
        <f>SUMIFS(GF_Budget_Detail!$F$5:$F$295,GF_Budget_Detail!$A$5:$A$295,$J$81,GF_Budget_Detail!$D$5:$D$295,"Transfers in")</f>
        <v/>
      </c>
      <c r="D109" s="36">
        <f>SUMIFS(GF_Budget_Detail!$G$5:$G$295,GF_Budget_Detail!$A$5:$A$295,$J$81,GF_Budget_Detail!$D$5:$D$295,"Transfers in")</f>
        <v/>
      </c>
      <c r="E109" s="22">
        <f>C109-B109</f>
        <v/>
      </c>
      <c r="F109" s="22">
        <f>(D109-C109)</f>
        <v/>
      </c>
      <c r="G109" s="43">
        <f>(D109-B109)</f>
        <v/>
      </c>
      <c r="H109" s="33">
        <f>IFERROR(F109/ABS(C109),0)</f>
        <v/>
      </c>
      <c r="I109" s="44">
        <f>IF(AND(ABS(F109)&gt;=$L$2,ABS(H109)&gt;=$L$3),"Explain","")</f>
        <v/>
      </c>
      <c r="J109" s="2" t="n"/>
      <c r="K109" s="2" t="n"/>
      <c r="L109" s="2" t="n"/>
    </row>
    <row r="110">
      <c r="A110" s="21" t="inlineStr">
        <is>
          <t>Transfers out</t>
        </is>
      </c>
      <c r="B110" s="36">
        <f>SUMIFS(GF_Budget_Detail!$E$5:$E$295,GF_Budget_Detail!$A$5:$A$295,$J$81,GF_Budget_Detail!$D$5:$D$295,"Transfers out")</f>
        <v/>
      </c>
      <c r="C110" s="36">
        <f>SUMIFS(GF_Budget_Detail!$F$5:$F$295,GF_Budget_Detail!$A$5:$A$295,$J$81,GF_Budget_Detail!$D$5:$D$295,"Transfers out")</f>
        <v/>
      </c>
      <c r="D110" s="36">
        <f>SUMIFS(GF_Budget_Detail!$G$5:$G$295,GF_Budget_Detail!$A$5:$A$295,$J$81,GF_Budget_Detail!$D$5:$D$295,"Transfers out")</f>
        <v/>
      </c>
      <c r="E110" s="22">
        <f>C110-B110</f>
        <v/>
      </c>
      <c r="F110" s="22">
        <f>(D110-C110)</f>
        <v/>
      </c>
      <c r="G110" s="43">
        <f>(D110-B110)</f>
        <v/>
      </c>
      <c r="H110" s="33">
        <f>IFERROR(F110/ABS(C110),0)</f>
        <v/>
      </c>
      <c r="I110" s="44">
        <f>IF(AND(ABS(F110)&gt;=$L$2,ABS(H110)&gt;=$L$3),"Explain","")</f>
        <v/>
      </c>
      <c r="J110" s="2" t="n"/>
      <c r="K110" s="2" t="n"/>
      <c r="L110" s="2" t="n"/>
    </row>
    <row r="111">
      <c r="A111" s="21" t="inlineStr">
        <is>
          <t>Debt / lease financing proceeds</t>
        </is>
      </c>
      <c r="B111" s="36">
        <f>SUMIFS(GF_Budget_Detail!$E$5:$E$295,GF_Budget_Detail!$A$5:$A$295,$J$81,GF_Budget_Detail!$D$5:$D$295,"Debt / lease financing proceeds")</f>
        <v/>
      </c>
      <c r="C111" s="36">
        <f>SUMIFS(GF_Budget_Detail!$F$5:$F$295,GF_Budget_Detail!$A$5:$A$295,$J$81,GF_Budget_Detail!$D$5:$D$295,"Debt / lease financing proceeds")</f>
        <v/>
      </c>
      <c r="D111" s="36">
        <f>SUMIFS(GF_Budget_Detail!$G$5:$G$295,GF_Budget_Detail!$A$5:$A$295,$J$81,GF_Budget_Detail!$D$5:$D$295,"Debt / lease financing proceeds")</f>
        <v/>
      </c>
      <c r="E111" s="22">
        <f>C111-B111</f>
        <v/>
      </c>
      <c r="F111" s="22">
        <f>(D111-C111)</f>
        <v/>
      </c>
      <c r="G111" s="43">
        <f>(D111-B111)</f>
        <v/>
      </c>
      <c r="H111" s="33">
        <f>IFERROR(F111/ABS(C111),0)</f>
        <v/>
      </c>
      <c r="I111" s="44">
        <f>IF(AND(ABS(F111)&gt;=$L$2,ABS(H111)&gt;=$L$3),"Explain","")</f>
        <v/>
      </c>
      <c r="J111" s="2" t="n"/>
      <c r="K111" s="2" t="n"/>
      <c r="L111" s="2" t="n"/>
    </row>
    <row r="112">
      <c r="A112" s="21" t="inlineStr">
        <is>
          <t>Proceeds from sale of capital assets</t>
        </is>
      </c>
      <c r="B112" s="36">
        <f>SUMIFS(GF_Budget_Detail!$E$5:$E$295,GF_Budget_Detail!$A$5:$A$295,$J$81,GF_Budget_Detail!$D$5:$D$295,"Proceeds from sale of capital assets")</f>
        <v/>
      </c>
      <c r="C112" s="36">
        <f>SUMIFS(GF_Budget_Detail!$F$5:$F$295,GF_Budget_Detail!$A$5:$A$295,$J$81,GF_Budget_Detail!$D$5:$D$295,"Proceeds from sale of capital assets")</f>
        <v/>
      </c>
      <c r="D112" s="36">
        <f>SUMIFS(GF_Budget_Detail!$G$5:$G$295,GF_Budget_Detail!$A$5:$A$295,$J$81,GF_Budget_Detail!$D$5:$D$295,"Proceeds from sale of capital assets")</f>
        <v/>
      </c>
      <c r="E112" s="22">
        <f>C112-B112</f>
        <v/>
      </c>
      <c r="F112" s="22">
        <f>(D112-C112)</f>
        <v/>
      </c>
      <c r="G112" s="43">
        <f>(D112-B112)</f>
        <v/>
      </c>
      <c r="H112" s="33">
        <f>IFERROR(F112/ABS(C112),0)</f>
        <v/>
      </c>
      <c r="I112" s="44">
        <f>IF(AND(ABS(F112)&gt;=$L$2,ABS(H112)&gt;=$L$3),"Explain","")</f>
        <v/>
      </c>
      <c r="J112" s="2" t="n"/>
      <c r="K112" s="2" t="n"/>
      <c r="L112" s="2" t="n"/>
    </row>
    <row r="113">
      <c r="A113" s="21" t="inlineStr">
        <is>
          <t>Special items</t>
        </is>
      </c>
      <c r="B113" s="36">
        <f>SUMIFS(GF_Budget_Detail!$E$5:$E$295,GF_Budget_Detail!$A$5:$A$295,$J$81,GF_Budget_Detail!$D$5:$D$295,"Special items")</f>
        <v/>
      </c>
      <c r="C113" s="36">
        <f>SUMIFS(GF_Budget_Detail!$F$5:$F$295,GF_Budget_Detail!$A$5:$A$295,$J$81,GF_Budget_Detail!$D$5:$D$295,"Special items")</f>
        <v/>
      </c>
      <c r="D113" s="36">
        <f>SUMIFS(GF_Budget_Detail!$G$5:$G$295,GF_Budget_Detail!$A$5:$A$295,$J$81,GF_Budget_Detail!$D$5:$D$295,"Special items")</f>
        <v/>
      </c>
      <c r="E113" s="22">
        <f>C113-B113</f>
        <v/>
      </c>
      <c r="F113" s="22">
        <f>(D113-C113)</f>
        <v/>
      </c>
      <c r="G113" s="43">
        <f>(D113-B113)</f>
        <v/>
      </c>
      <c r="H113" s="33">
        <f>IFERROR(F113/ABS(C113),0)</f>
        <v/>
      </c>
      <c r="I113" s="44">
        <f>IF(AND(ABS(F113)&gt;=$L$2,ABS(H113)&gt;=$L$3),"Explain","")</f>
        <v/>
      </c>
      <c r="J113" s="2" t="n"/>
      <c r="K113" s="2" t="n"/>
      <c r="L113" s="2" t="n"/>
    </row>
    <row r="114">
      <c r="A114" s="12" t="inlineStr">
        <is>
          <t>Total other financing sources (uses) and special items</t>
        </is>
      </c>
      <c r="B114" s="24">
        <f>SUM(B109:B113)</f>
        <v/>
      </c>
      <c r="C114" s="24">
        <f>SUM(C109:C113)</f>
        <v/>
      </c>
      <c r="D114" s="24">
        <f>SUM(D109:D113)</f>
        <v/>
      </c>
      <c r="E114" s="24">
        <f>C114-B114</f>
        <v/>
      </c>
      <c r="F114" s="24">
        <f>(D114-C114)</f>
        <v/>
      </c>
      <c r="G114" s="24">
        <f>(D114-B114)</f>
        <v/>
      </c>
      <c r="H114" s="45">
        <f>IFERROR(F114/ABS(C114),0)</f>
        <v/>
      </c>
      <c r="I114" s="46">
        <f>IF(AND(ABS(F114)&gt;=$L$2,ABS(H114)&gt;=$L$3),"Explain","")</f>
        <v/>
      </c>
      <c r="J114" s="2" t="n"/>
      <c r="K114" s="2" t="n"/>
      <c r="L114" s="2" t="n"/>
    </row>
    <row r="115">
      <c r="A115" s="2" t="n"/>
      <c r="B115" s="2" t="n"/>
      <c r="C115" s="2" t="n"/>
      <c r="D115" s="2" t="n"/>
      <c r="E115" s="2" t="n"/>
      <c r="F115" s="2" t="n"/>
      <c r="G115" s="2" t="n"/>
      <c r="H115" s="2" t="n"/>
      <c r="I115" s="2" t="n"/>
      <c r="J115" s="2" t="n"/>
      <c r="K115" s="2" t="n"/>
      <c r="L115" s="2" t="n"/>
    </row>
    <row r="116">
      <c r="A116" s="12" t="inlineStr">
        <is>
          <t>Net change in fund balance</t>
        </is>
      </c>
      <c r="B116" s="31">
        <f>B92-B107+B114</f>
        <v/>
      </c>
      <c r="C116" s="31">
        <f>C92-C107+C114</f>
        <v/>
      </c>
      <c r="D116" s="31">
        <f>D92-D107+D114</f>
        <v/>
      </c>
      <c r="E116" s="31">
        <f>C116-B116</f>
        <v/>
      </c>
      <c r="F116" s="31">
        <f>D116-C116</f>
        <v/>
      </c>
      <c r="G116" s="31">
        <f>D116-B116</f>
        <v/>
      </c>
      <c r="H116" s="2" t="n"/>
      <c r="I116" s="2" t="n"/>
      <c r="J116" s="2" t="n"/>
      <c r="K116" s="2" t="n"/>
      <c r="L116" s="2" t="n"/>
    </row>
    <row r="117">
      <c r="A117" s="2" t="n"/>
      <c r="B117" s="2" t="n"/>
      <c r="C117" s="2" t="n"/>
      <c r="D117" s="2" t="n"/>
      <c r="E117" s="2" t="n"/>
      <c r="F117" s="2" t="n"/>
      <c r="G117" s="2" t="n"/>
      <c r="H117" s="2" t="n"/>
      <c r="I117" s="2" t="n"/>
      <c r="J117" s="2" t="n"/>
      <c r="K117" s="2" t="n"/>
      <c r="L117" s="2" t="n"/>
    </row>
    <row r="118">
      <c r="A118" s="2" t="n"/>
      <c r="B118" s="2" t="n"/>
      <c r="C118" s="2" t="n"/>
      <c r="D118" s="2" t="n"/>
      <c r="E118" s="2" t="n"/>
      <c r="F118" s="2" t="n"/>
      <c r="G118" s="2" t="n"/>
      <c r="H118" s="2" t="n"/>
      <c r="I118" s="2" t="n"/>
      <c r="J118" s="2" t="n"/>
      <c r="K118" s="2" t="n"/>
      <c r="L118" s="2" t="n"/>
    </row>
    <row r="119">
      <c r="A119" s="16" t="inlineStr">
        <is>
          <t>FY2016-17 (year ended June 30, 2017)  -  Budgetary comparison schedule, General Fund  -  GAAP (modified accrual) budgetary basis</t>
        </is>
      </c>
      <c r="B119" s="39" t="n"/>
      <c r="C119" s="39" t="n"/>
      <c r="D119" s="39" t="n"/>
      <c r="E119" s="39" t="n"/>
      <c r="F119" s="39" t="n"/>
      <c r="G119" s="39" t="n"/>
      <c r="H119" s="39" t="n"/>
      <c r="I119" s="39" t="n"/>
      <c r="J119" s="40" t="n">
        <v>2017</v>
      </c>
      <c r="K119" s="2" t="n"/>
      <c r="L119" s="2" t="n"/>
    </row>
    <row r="120" ht="54" customHeight="1">
      <c r="A120" s="41" t="inlineStr">
        <is>
          <t>Category</t>
        </is>
      </c>
      <c r="B120" s="41" t="inlineStr">
        <is>
          <t>Budgeted amounts - Original</t>
        </is>
      </c>
      <c r="C120" s="41" t="inlineStr">
        <is>
          <t>Budgeted amounts - Final</t>
        </is>
      </c>
      <c r="D120" s="41" t="inlineStr">
        <is>
          <t>Actual amounts (budgetary basis)</t>
        </is>
      </c>
      <c r="E120" s="41" t="inlineStr">
        <is>
          <t>Variance: Original to Final budget, increase (decrease)</t>
        </is>
      </c>
      <c r="F120" s="41" t="inlineStr">
        <is>
          <t>Variance with Final budget, positive (negative)</t>
        </is>
      </c>
      <c r="G120" s="42" t="inlineStr">
        <is>
          <t>Variance with Original budget, positive (negative) [supplementary]</t>
        </is>
      </c>
      <c r="H120" s="41" t="inlineStr">
        <is>
          <t>Variance with Final budget %</t>
        </is>
      </c>
      <c r="I120" s="41" t="inlineStr">
        <is>
          <t>Significant variance? (GASB 103 note candidate)</t>
        </is>
      </c>
      <c r="J120" s="2" t="n"/>
      <c r="K120" s="2" t="n"/>
      <c r="L120" s="2" t="n"/>
    </row>
    <row r="121">
      <c r="A121" s="21" t="inlineStr">
        <is>
          <t>Property taxes</t>
        </is>
      </c>
      <c r="B121" s="36">
        <f>SUMIFS(GF_Budget_Detail!$E$5:$E$295,GF_Budget_Detail!$A$5:$A$295,$J$119,GF_Budget_Detail!$D$5:$D$295,"Property taxes")</f>
        <v/>
      </c>
      <c r="C121" s="36">
        <f>SUMIFS(GF_Budget_Detail!$F$5:$F$295,GF_Budget_Detail!$A$5:$A$295,$J$119,GF_Budget_Detail!$D$5:$D$295,"Property taxes")</f>
        <v/>
      </c>
      <c r="D121" s="36">
        <f>SUMIFS(GF_Budget_Detail!$G$5:$G$295,GF_Budget_Detail!$A$5:$A$295,$J$119,GF_Budget_Detail!$D$5:$D$295,"Property taxes")</f>
        <v/>
      </c>
      <c r="E121" s="22">
        <f>C121-B121</f>
        <v/>
      </c>
      <c r="F121" s="22">
        <f>(D121-C121)</f>
        <v/>
      </c>
      <c r="G121" s="43">
        <f>(D121-B121)</f>
        <v/>
      </c>
      <c r="H121" s="33">
        <f>IFERROR(F121/ABS(C121),0)</f>
        <v/>
      </c>
      <c r="I121" s="44">
        <f>IF(AND(ABS(F121)&gt;=$L$2,ABS(H121)&gt;=$L$3),"Explain","")</f>
        <v/>
      </c>
      <c r="J121" s="2" t="n"/>
      <c r="K121" s="2" t="n"/>
      <c r="L121" s="2" t="n"/>
    </row>
    <row r="122">
      <c r="A122" s="21" t="inlineStr">
        <is>
          <t>Taxes other than property</t>
        </is>
      </c>
      <c r="B122" s="36">
        <f>SUMIFS(GF_Budget_Detail!$E$5:$E$295,GF_Budget_Detail!$A$5:$A$295,$J$119,GF_Budget_Detail!$D$5:$D$295,"Taxes other than property")</f>
        <v/>
      </c>
      <c r="C122" s="36">
        <f>SUMIFS(GF_Budget_Detail!$F$5:$F$295,GF_Budget_Detail!$A$5:$A$295,$J$119,GF_Budget_Detail!$D$5:$D$295,"Taxes other than property")</f>
        <v/>
      </c>
      <c r="D122" s="36">
        <f>SUMIFS(GF_Budget_Detail!$G$5:$G$295,GF_Budget_Detail!$A$5:$A$295,$J$119,GF_Budget_Detail!$D$5:$D$295,"Taxes other than property")</f>
        <v/>
      </c>
      <c r="E122" s="22">
        <f>C122-B122</f>
        <v/>
      </c>
      <c r="F122" s="22">
        <f>(D122-C122)</f>
        <v/>
      </c>
      <c r="G122" s="43">
        <f>(D122-B122)</f>
        <v/>
      </c>
      <c r="H122" s="33">
        <f>IFERROR(F122/ABS(C122),0)</f>
        <v/>
      </c>
      <c r="I122" s="44">
        <f>IF(AND(ABS(F122)&gt;=$L$2,ABS(H122)&gt;=$L$3),"Explain","")</f>
        <v/>
      </c>
      <c r="J122" s="2" t="n"/>
      <c r="K122" s="2" t="n"/>
      <c r="L122" s="2" t="n"/>
    </row>
    <row r="123">
      <c r="A123" s="21" t="inlineStr">
        <is>
          <t>Taxes and assessments (combined)</t>
        </is>
      </c>
      <c r="B123" s="36">
        <f>SUMIFS(GF_Budget_Detail!$E$5:$E$295,GF_Budget_Detail!$A$5:$A$295,$J$119,GF_Budget_Detail!$D$5:$D$295,"Taxes and assessments (combined)")</f>
        <v/>
      </c>
      <c r="C123" s="36">
        <f>SUMIFS(GF_Budget_Detail!$F$5:$F$295,GF_Budget_Detail!$A$5:$A$295,$J$119,GF_Budget_Detail!$D$5:$D$295,"Taxes and assessments (combined)")</f>
        <v/>
      </c>
      <c r="D123" s="36">
        <f>SUMIFS(GF_Budget_Detail!$G$5:$G$295,GF_Budget_Detail!$A$5:$A$295,$J$119,GF_Budget_Detail!$D$5:$D$295,"Taxes and assessments (combined)")</f>
        <v/>
      </c>
      <c r="E123" s="22">
        <f>C123-B123</f>
        <v/>
      </c>
      <c r="F123" s="22">
        <f>(D123-C123)</f>
        <v/>
      </c>
      <c r="G123" s="43">
        <f>(D123-B123)</f>
        <v/>
      </c>
      <c r="H123" s="33">
        <f>IFERROR(F123/ABS(C123),0)</f>
        <v/>
      </c>
      <c r="I123" s="44">
        <f>IF(AND(ABS(F123)&gt;=$L$2,ABS(H123)&gt;=$L$3),"Explain","")</f>
        <v/>
      </c>
      <c r="J123" s="2" t="n"/>
      <c r="K123" s="2" t="n"/>
      <c r="L123" s="2" t="n"/>
    </row>
    <row r="124">
      <c r="A124" s="21" t="inlineStr">
        <is>
          <t>Licenses and permits</t>
        </is>
      </c>
      <c r="B124" s="36">
        <f>SUMIFS(GF_Budget_Detail!$E$5:$E$295,GF_Budget_Detail!$A$5:$A$295,$J$119,GF_Budget_Detail!$D$5:$D$295,"Licenses and permits")</f>
        <v/>
      </c>
      <c r="C124" s="36">
        <f>SUMIFS(GF_Budget_Detail!$F$5:$F$295,GF_Budget_Detail!$A$5:$A$295,$J$119,GF_Budget_Detail!$D$5:$D$295,"Licenses and permits")</f>
        <v/>
      </c>
      <c r="D124" s="36">
        <f>SUMIFS(GF_Budget_Detail!$G$5:$G$295,GF_Budget_Detail!$A$5:$A$295,$J$119,GF_Budget_Detail!$D$5:$D$295,"Licenses and permits")</f>
        <v/>
      </c>
      <c r="E124" s="22">
        <f>C124-B124</f>
        <v/>
      </c>
      <c r="F124" s="22">
        <f>(D124-C124)</f>
        <v/>
      </c>
      <c r="G124" s="43">
        <f>(D124-B124)</f>
        <v/>
      </c>
      <c r="H124" s="33">
        <f>IFERROR(F124/ABS(C124),0)</f>
        <v/>
      </c>
      <c r="I124" s="44">
        <f>IF(AND(ABS(F124)&gt;=$L$2,ABS(H124)&gt;=$L$3),"Explain","")</f>
        <v/>
      </c>
      <c r="J124" s="2" t="n"/>
      <c r="K124" s="2" t="n"/>
      <c r="L124" s="2" t="n"/>
    </row>
    <row r="125">
      <c r="A125" s="21" t="inlineStr">
        <is>
          <t>Fines and forfeitures</t>
        </is>
      </c>
      <c r="B125" s="36">
        <f>SUMIFS(GF_Budget_Detail!$E$5:$E$295,GF_Budget_Detail!$A$5:$A$295,$J$119,GF_Budget_Detail!$D$5:$D$295,"Fines and forfeitures")</f>
        <v/>
      </c>
      <c r="C125" s="36">
        <f>SUMIFS(GF_Budget_Detail!$F$5:$F$295,GF_Budget_Detail!$A$5:$A$295,$J$119,GF_Budget_Detail!$D$5:$D$295,"Fines and forfeitures")</f>
        <v/>
      </c>
      <c r="D125" s="36">
        <f>SUMIFS(GF_Budget_Detail!$G$5:$G$295,GF_Budget_Detail!$A$5:$A$295,$J$119,GF_Budget_Detail!$D$5:$D$295,"Fines and forfeitures")</f>
        <v/>
      </c>
      <c r="E125" s="22">
        <f>C125-B125</f>
        <v/>
      </c>
      <c r="F125" s="22">
        <f>(D125-C125)</f>
        <v/>
      </c>
      <c r="G125" s="43">
        <f>(D125-B125)</f>
        <v/>
      </c>
      <c r="H125" s="33">
        <f>IFERROR(F125/ABS(C125),0)</f>
        <v/>
      </c>
      <c r="I125" s="44">
        <f>IF(AND(ABS(F125)&gt;=$L$2,ABS(H125)&gt;=$L$3),"Explain","")</f>
        <v/>
      </c>
      <c r="J125" s="2" t="n"/>
      <c r="K125" s="2" t="n"/>
      <c r="L125" s="2" t="n"/>
    </row>
    <row r="126">
      <c r="A126" s="21" t="inlineStr">
        <is>
          <t>Use of money and property</t>
        </is>
      </c>
      <c r="B126" s="36">
        <f>SUMIFS(GF_Budget_Detail!$E$5:$E$295,GF_Budget_Detail!$A$5:$A$295,$J$119,GF_Budget_Detail!$D$5:$D$295,"Use of money and property")</f>
        <v/>
      </c>
      <c r="C126" s="36">
        <f>SUMIFS(GF_Budget_Detail!$F$5:$F$295,GF_Budget_Detail!$A$5:$A$295,$J$119,GF_Budget_Detail!$D$5:$D$295,"Use of money and property")</f>
        <v/>
      </c>
      <c r="D126" s="36">
        <f>SUMIFS(GF_Budget_Detail!$G$5:$G$295,GF_Budget_Detail!$A$5:$A$295,$J$119,GF_Budget_Detail!$D$5:$D$295,"Use of money and property")</f>
        <v/>
      </c>
      <c r="E126" s="22">
        <f>C126-B126</f>
        <v/>
      </c>
      <c r="F126" s="22">
        <f>(D126-C126)</f>
        <v/>
      </c>
      <c r="G126" s="43">
        <f>(D126-B126)</f>
        <v/>
      </c>
      <c r="H126" s="33">
        <f>IFERROR(F126/ABS(C126),0)</f>
        <v/>
      </c>
      <c r="I126" s="44">
        <f>IF(AND(ABS(F126)&gt;=$L$2,ABS(H126)&gt;=$L$3),"Explain","")</f>
        <v/>
      </c>
      <c r="J126" s="2" t="n"/>
      <c r="K126" s="2" t="n"/>
      <c r="L126" s="2" t="n"/>
    </row>
    <row r="127">
      <c r="A127" s="21" t="inlineStr">
        <is>
          <t>Intergovernmental</t>
        </is>
      </c>
      <c r="B127" s="36">
        <f>SUMIFS(GF_Budget_Detail!$E$5:$E$295,GF_Budget_Detail!$A$5:$A$295,$J$119,GF_Budget_Detail!$D$5:$D$295,"Intergovernmental")</f>
        <v/>
      </c>
      <c r="C127" s="36">
        <f>SUMIFS(GF_Budget_Detail!$F$5:$F$295,GF_Budget_Detail!$A$5:$A$295,$J$119,GF_Budget_Detail!$D$5:$D$295,"Intergovernmental")</f>
        <v/>
      </c>
      <c r="D127" s="36">
        <f>SUMIFS(GF_Budget_Detail!$G$5:$G$295,GF_Budget_Detail!$A$5:$A$295,$J$119,GF_Budget_Detail!$D$5:$D$295,"Intergovernmental")</f>
        <v/>
      </c>
      <c r="E127" s="22">
        <f>C127-B127</f>
        <v/>
      </c>
      <c r="F127" s="22">
        <f>(D127-C127)</f>
        <v/>
      </c>
      <c r="G127" s="43">
        <f>(D127-B127)</f>
        <v/>
      </c>
      <c r="H127" s="33">
        <f>IFERROR(F127/ABS(C127),0)</f>
        <v/>
      </c>
      <c r="I127" s="44">
        <f>IF(AND(ABS(F127)&gt;=$L$2,ABS(H127)&gt;=$L$3),"Explain","")</f>
        <v/>
      </c>
      <c r="J127" s="2" t="n"/>
      <c r="K127" s="2" t="n"/>
      <c r="L127" s="2" t="n"/>
    </row>
    <row r="128">
      <c r="A128" s="21" t="inlineStr">
        <is>
          <t>Charges for services</t>
        </is>
      </c>
      <c r="B128" s="36">
        <f>SUMIFS(GF_Budget_Detail!$E$5:$E$295,GF_Budget_Detail!$A$5:$A$295,$J$119,GF_Budget_Detail!$D$5:$D$295,"Charges for services")</f>
        <v/>
      </c>
      <c r="C128" s="36">
        <f>SUMIFS(GF_Budget_Detail!$F$5:$F$295,GF_Budget_Detail!$A$5:$A$295,$J$119,GF_Budget_Detail!$D$5:$D$295,"Charges for services")</f>
        <v/>
      </c>
      <c r="D128" s="36">
        <f>SUMIFS(GF_Budget_Detail!$G$5:$G$295,GF_Budget_Detail!$A$5:$A$295,$J$119,GF_Budget_Detail!$D$5:$D$295,"Charges for services")</f>
        <v/>
      </c>
      <c r="E128" s="22">
        <f>C128-B128</f>
        <v/>
      </c>
      <c r="F128" s="22">
        <f>(D128-C128)</f>
        <v/>
      </c>
      <c r="G128" s="43">
        <f>(D128-B128)</f>
        <v/>
      </c>
      <c r="H128" s="33">
        <f>IFERROR(F128/ABS(C128),0)</f>
        <v/>
      </c>
      <c r="I128" s="44">
        <f>IF(AND(ABS(F128)&gt;=$L$2,ABS(H128)&gt;=$L$3),"Explain","")</f>
        <v/>
      </c>
      <c r="J128" s="2" t="n"/>
      <c r="K128" s="2" t="n"/>
      <c r="L128" s="2" t="n"/>
    </row>
    <row r="129">
      <c r="A129" s="21" t="inlineStr">
        <is>
          <t>Other revenues</t>
        </is>
      </c>
      <c r="B129" s="36">
        <f>SUMIFS(GF_Budget_Detail!$E$5:$E$295,GF_Budget_Detail!$A$5:$A$295,$J$119,GF_Budget_Detail!$D$5:$D$295,"Other revenues")</f>
        <v/>
      </c>
      <c r="C129" s="36">
        <f>SUMIFS(GF_Budget_Detail!$F$5:$F$295,GF_Budget_Detail!$A$5:$A$295,$J$119,GF_Budget_Detail!$D$5:$D$295,"Other revenues")</f>
        <v/>
      </c>
      <c r="D129" s="36">
        <f>SUMIFS(GF_Budget_Detail!$G$5:$G$295,GF_Budget_Detail!$A$5:$A$295,$J$119,GF_Budget_Detail!$D$5:$D$295,"Other revenues")</f>
        <v/>
      </c>
      <c r="E129" s="22">
        <f>C129-B129</f>
        <v/>
      </c>
      <c r="F129" s="22">
        <f>(D129-C129)</f>
        <v/>
      </c>
      <c r="G129" s="43">
        <f>(D129-B129)</f>
        <v/>
      </c>
      <c r="H129" s="33">
        <f>IFERROR(F129/ABS(C129),0)</f>
        <v/>
      </c>
      <c r="I129" s="44">
        <f>IF(AND(ABS(F129)&gt;=$L$2,ABS(H129)&gt;=$L$3),"Explain","")</f>
        <v/>
      </c>
      <c r="J129" s="2" t="n"/>
      <c r="K129" s="2" t="n"/>
      <c r="L129" s="2" t="n"/>
    </row>
    <row r="130">
      <c r="A130" s="12" t="inlineStr">
        <is>
          <t>Total revenues</t>
        </is>
      </c>
      <c r="B130" s="24">
        <f>SUM(B121:B129)</f>
        <v/>
      </c>
      <c r="C130" s="24">
        <f>SUM(C121:C129)</f>
        <v/>
      </c>
      <c r="D130" s="24">
        <f>SUM(D121:D129)</f>
        <v/>
      </c>
      <c r="E130" s="24">
        <f>C130-B130</f>
        <v/>
      </c>
      <c r="F130" s="24">
        <f>(D130-C130)</f>
        <v/>
      </c>
      <c r="G130" s="24">
        <f>(D130-B130)</f>
        <v/>
      </c>
      <c r="H130" s="45">
        <f>IFERROR(F130/ABS(C130),0)</f>
        <v/>
      </c>
      <c r="I130" s="46">
        <f>IF(AND(ABS(F130)&gt;=$L$2,ABS(H130)&gt;=$L$3),"Explain","")</f>
        <v/>
      </c>
      <c r="J130" s="2" t="n"/>
      <c r="K130" s="2" t="n"/>
      <c r="L130" s="2" t="n"/>
    </row>
    <row r="131">
      <c r="A131" s="2" t="n"/>
      <c r="B131" s="2" t="n"/>
      <c r="C131" s="2" t="n"/>
      <c r="D131" s="2" t="n"/>
      <c r="E131" s="2" t="n"/>
      <c r="F131" s="2" t="n"/>
      <c r="G131" s="2" t="n"/>
      <c r="H131" s="2" t="n"/>
      <c r="I131" s="2" t="n"/>
      <c r="J131" s="2" t="n"/>
      <c r="K131" s="2" t="n"/>
      <c r="L131" s="2" t="n"/>
    </row>
    <row r="132">
      <c r="A132" s="21" t="inlineStr">
        <is>
          <t>General government</t>
        </is>
      </c>
      <c r="B132" s="36">
        <f>SUMIFS(GF_Budget_Detail!$E$5:$E$295,GF_Budget_Detail!$A$5:$A$295,$J$119,GF_Budget_Detail!$D$5:$D$295,"General government")</f>
        <v/>
      </c>
      <c r="C132" s="36">
        <f>SUMIFS(GF_Budget_Detail!$F$5:$F$295,GF_Budget_Detail!$A$5:$A$295,$J$119,GF_Budget_Detail!$D$5:$D$295,"General government")</f>
        <v/>
      </c>
      <c r="D132" s="36">
        <f>SUMIFS(GF_Budget_Detail!$G$5:$G$295,GF_Budget_Detail!$A$5:$A$295,$J$119,GF_Budget_Detail!$D$5:$D$295,"General government")</f>
        <v/>
      </c>
      <c r="E132" s="22">
        <f>C132-B132</f>
        <v/>
      </c>
      <c r="F132" s="22">
        <f>-(D132-C132)</f>
        <v/>
      </c>
      <c r="G132" s="43">
        <f>-(D132-B132)</f>
        <v/>
      </c>
      <c r="H132" s="33">
        <f>IFERROR(F132/ABS(C132),0)</f>
        <v/>
      </c>
      <c r="I132" s="44">
        <f>IF(AND(ABS(F132)&gt;=$L$2,ABS(H132)&gt;=$L$3),"Explain","")</f>
        <v/>
      </c>
      <c r="J132" s="2" t="n"/>
      <c r="K132" s="2" t="n"/>
      <c r="L132" s="2" t="n"/>
    </row>
    <row r="133">
      <c r="A133" s="21" t="inlineStr">
        <is>
          <t>Public works</t>
        </is>
      </c>
      <c r="B133" s="36">
        <f>SUMIFS(GF_Budget_Detail!$E$5:$E$295,GF_Budget_Detail!$A$5:$A$295,$J$119,GF_Budget_Detail!$D$5:$D$295,"Public works")</f>
        <v/>
      </c>
      <c r="C133" s="36">
        <f>SUMIFS(GF_Budget_Detail!$F$5:$F$295,GF_Budget_Detail!$A$5:$A$295,$J$119,GF_Budget_Detail!$D$5:$D$295,"Public works")</f>
        <v/>
      </c>
      <c r="D133" s="36">
        <f>SUMIFS(GF_Budget_Detail!$G$5:$G$295,GF_Budget_Detail!$A$5:$A$295,$J$119,GF_Budget_Detail!$D$5:$D$295,"Public works")</f>
        <v/>
      </c>
      <c r="E133" s="22">
        <f>C133-B133</f>
        <v/>
      </c>
      <c r="F133" s="22">
        <f>-(D133-C133)</f>
        <v/>
      </c>
      <c r="G133" s="43">
        <f>-(D133-B133)</f>
        <v/>
      </c>
      <c r="H133" s="33">
        <f>IFERROR(F133/ABS(C133),0)</f>
        <v/>
      </c>
      <c r="I133" s="44">
        <f>IF(AND(ABS(F133)&gt;=$L$2,ABS(H133)&gt;=$L$3),"Explain","")</f>
        <v/>
      </c>
      <c r="J133" s="2" t="n"/>
      <c r="K133" s="2" t="n"/>
      <c r="L133" s="2" t="n"/>
    </row>
    <row r="134">
      <c r="A134" s="21" t="inlineStr">
        <is>
          <t>Recreation</t>
        </is>
      </c>
      <c r="B134" s="36">
        <f>SUMIFS(GF_Budget_Detail!$E$5:$E$295,GF_Budget_Detail!$A$5:$A$295,$J$119,GF_Budget_Detail!$D$5:$D$295,"Recreation")</f>
        <v/>
      </c>
      <c r="C134" s="36">
        <f>SUMIFS(GF_Budget_Detail!$F$5:$F$295,GF_Budget_Detail!$A$5:$A$295,$J$119,GF_Budget_Detail!$D$5:$D$295,"Recreation")</f>
        <v/>
      </c>
      <c r="D134" s="36">
        <f>SUMIFS(GF_Budget_Detail!$G$5:$G$295,GF_Budget_Detail!$A$5:$A$295,$J$119,GF_Budget_Detail!$D$5:$D$295,"Recreation")</f>
        <v/>
      </c>
      <c r="E134" s="22">
        <f>C134-B134</f>
        <v/>
      </c>
      <c r="F134" s="22">
        <f>-(D134-C134)</f>
        <v/>
      </c>
      <c r="G134" s="43">
        <f>-(D134-B134)</f>
        <v/>
      </c>
      <c r="H134" s="33">
        <f>IFERROR(F134/ABS(C134),0)</f>
        <v/>
      </c>
      <c r="I134" s="44">
        <f>IF(AND(ABS(F134)&gt;=$L$2,ABS(H134)&gt;=$L$3),"Explain","")</f>
        <v/>
      </c>
      <c r="J134" s="2" t="n"/>
      <c r="K134" s="2" t="n"/>
      <c r="L134" s="2" t="n"/>
    </row>
    <row r="135">
      <c r="A135" s="21" t="inlineStr">
        <is>
          <t>Community development</t>
        </is>
      </c>
      <c r="B135" s="36">
        <f>SUMIFS(GF_Budget_Detail!$E$5:$E$295,GF_Budget_Detail!$A$5:$A$295,$J$119,GF_Budget_Detail!$D$5:$D$295,"Community development")</f>
        <v/>
      </c>
      <c r="C135" s="36">
        <f>SUMIFS(GF_Budget_Detail!$F$5:$F$295,GF_Budget_Detail!$A$5:$A$295,$J$119,GF_Budget_Detail!$D$5:$D$295,"Community development")</f>
        <v/>
      </c>
      <c r="D135" s="36">
        <f>SUMIFS(GF_Budget_Detail!$G$5:$G$295,GF_Budget_Detail!$A$5:$A$295,$J$119,GF_Budget_Detail!$D$5:$D$295,"Community development")</f>
        <v/>
      </c>
      <c r="E135" s="22">
        <f>C135-B135</f>
        <v/>
      </c>
      <c r="F135" s="22">
        <f>-(D135-C135)</f>
        <v/>
      </c>
      <c r="G135" s="43">
        <f>-(D135-B135)</f>
        <v/>
      </c>
      <c r="H135" s="33">
        <f>IFERROR(F135/ABS(C135),0)</f>
        <v/>
      </c>
      <c r="I135" s="44">
        <f>IF(AND(ABS(F135)&gt;=$L$2,ABS(H135)&gt;=$L$3),"Explain","")</f>
        <v/>
      </c>
      <c r="J135" s="2" t="n"/>
      <c r="K135" s="2" t="n"/>
      <c r="L135" s="2" t="n"/>
    </row>
    <row r="136">
      <c r="A136" s="21" t="inlineStr">
        <is>
          <t>Public safety - Police</t>
        </is>
      </c>
      <c r="B136" s="36">
        <f>SUMIFS(GF_Budget_Detail!$E$5:$E$295,GF_Budget_Detail!$A$5:$A$295,$J$119,GF_Budget_Detail!$D$5:$D$295,"Public safety - Police")</f>
        <v/>
      </c>
      <c r="C136" s="36">
        <f>SUMIFS(GF_Budget_Detail!$F$5:$F$295,GF_Budget_Detail!$A$5:$A$295,$J$119,GF_Budget_Detail!$D$5:$D$295,"Public safety - Police")</f>
        <v/>
      </c>
      <c r="D136" s="36">
        <f>SUMIFS(GF_Budget_Detail!$G$5:$G$295,GF_Budget_Detail!$A$5:$A$295,$J$119,GF_Budget_Detail!$D$5:$D$295,"Public safety - Police")</f>
        <v/>
      </c>
      <c r="E136" s="22">
        <f>C136-B136</f>
        <v/>
      </c>
      <c r="F136" s="22">
        <f>-(D136-C136)</f>
        <v/>
      </c>
      <c r="G136" s="43">
        <f>-(D136-B136)</f>
        <v/>
      </c>
      <c r="H136" s="33">
        <f>IFERROR(F136/ABS(C136),0)</f>
        <v/>
      </c>
      <c r="I136" s="44">
        <f>IF(AND(ABS(F136)&gt;=$L$2,ABS(H136)&gt;=$L$3),"Explain","")</f>
        <v/>
      </c>
      <c r="J136" s="2" t="n"/>
      <c r="K136" s="2" t="n"/>
      <c r="L136" s="2" t="n"/>
    </row>
    <row r="137">
      <c r="A137" s="21" t="inlineStr">
        <is>
          <t>Public safety - Fire</t>
        </is>
      </c>
      <c r="B137" s="36">
        <f>SUMIFS(GF_Budget_Detail!$E$5:$E$295,GF_Budget_Detail!$A$5:$A$295,$J$119,GF_Budget_Detail!$D$5:$D$295,"Public safety - Fire")</f>
        <v/>
      </c>
      <c r="C137" s="36">
        <f>SUMIFS(GF_Budget_Detail!$F$5:$F$295,GF_Budget_Detail!$A$5:$A$295,$J$119,GF_Budget_Detail!$D$5:$D$295,"Public safety - Fire")</f>
        <v/>
      </c>
      <c r="D137" s="36">
        <f>SUMIFS(GF_Budget_Detail!$G$5:$G$295,GF_Budget_Detail!$A$5:$A$295,$J$119,GF_Budget_Detail!$D$5:$D$295,"Public safety - Fire")</f>
        <v/>
      </c>
      <c r="E137" s="22">
        <f>C137-B137</f>
        <v/>
      </c>
      <c r="F137" s="22">
        <f>-(D137-C137)</f>
        <v/>
      </c>
      <c r="G137" s="43">
        <f>-(D137-B137)</f>
        <v/>
      </c>
      <c r="H137" s="33">
        <f>IFERROR(F137/ABS(C137),0)</f>
        <v/>
      </c>
      <c r="I137" s="44">
        <f>IF(AND(ABS(F137)&gt;=$L$2,ABS(H137)&gt;=$L$3),"Explain","")</f>
        <v/>
      </c>
      <c r="J137" s="2" t="n"/>
      <c r="K137" s="2" t="n"/>
      <c r="L137" s="2" t="n"/>
    </row>
    <row r="138">
      <c r="A138" s="21" t="inlineStr">
        <is>
          <t>Public safety (combined)</t>
        </is>
      </c>
      <c r="B138" s="36">
        <f>SUMIFS(GF_Budget_Detail!$E$5:$E$295,GF_Budget_Detail!$A$5:$A$295,$J$119,GF_Budget_Detail!$D$5:$D$295,"Public safety (combined)")</f>
        <v/>
      </c>
      <c r="C138" s="36">
        <f>SUMIFS(GF_Budget_Detail!$F$5:$F$295,GF_Budget_Detail!$A$5:$A$295,$J$119,GF_Budget_Detail!$D$5:$D$295,"Public safety (combined)")</f>
        <v/>
      </c>
      <c r="D138" s="36">
        <f>SUMIFS(GF_Budget_Detail!$G$5:$G$295,GF_Budget_Detail!$A$5:$A$295,$J$119,GF_Budget_Detail!$D$5:$D$295,"Public safety (combined)")</f>
        <v/>
      </c>
      <c r="E138" s="22">
        <f>C138-B138</f>
        <v/>
      </c>
      <c r="F138" s="22">
        <f>-(D138-C138)</f>
        <v/>
      </c>
      <c r="G138" s="43">
        <f>-(D138-B138)</f>
        <v/>
      </c>
      <c r="H138" s="33">
        <f>IFERROR(F138/ABS(C138),0)</f>
        <v/>
      </c>
      <c r="I138" s="44">
        <f>IF(AND(ABS(F138)&gt;=$L$2,ABS(H138)&gt;=$L$3),"Explain","")</f>
        <v/>
      </c>
      <c r="J138" s="2" t="n"/>
      <c r="K138" s="2" t="n"/>
      <c r="L138" s="2" t="n"/>
    </row>
    <row r="139">
      <c r="A139" s="21" t="inlineStr">
        <is>
          <t>Payment of sales tax to City of Richmond</t>
        </is>
      </c>
      <c r="B139" s="36">
        <f>SUMIFS(GF_Budget_Detail!$E$5:$E$295,GF_Budget_Detail!$A$5:$A$295,$J$119,GF_Budget_Detail!$D$5:$D$295,"Payment of sales tax to City of Richmond")</f>
        <v/>
      </c>
      <c r="C139" s="36">
        <f>SUMIFS(GF_Budget_Detail!$F$5:$F$295,GF_Budget_Detail!$A$5:$A$295,$J$119,GF_Budget_Detail!$D$5:$D$295,"Payment of sales tax to City of Richmond")</f>
        <v/>
      </c>
      <c r="D139" s="36">
        <f>SUMIFS(GF_Budget_Detail!$G$5:$G$295,GF_Budget_Detail!$A$5:$A$295,$J$119,GF_Budget_Detail!$D$5:$D$295,"Payment of sales tax to City of Richmond")</f>
        <v/>
      </c>
      <c r="E139" s="22">
        <f>C139-B139</f>
        <v/>
      </c>
      <c r="F139" s="22">
        <f>-(D139-C139)</f>
        <v/>
      </c>
      <c r="G139" s="43">
        <f>-(D139-B139)</f>
        <v/>
      </c>
      <c r="H139" s="33">
        <f>IFERROR(F139/ABS(C139),0)</f>
        <v/>
      </c>
      <c r="I139" s="44">
        <f>IF(AND(ABS(F139)&gt;=$L$2,ABS(H139)&gt;=$L$3),"Explain","")</f>
        <v/>
      </c>
      <c r="J139" s="2" t="n"/>
      <c r="K139" s="2" t="n"/>
      <c r="L139" s="2" t="n"/>
    </row>
    <row r="140">
      <c r="A140" s="21" t="inlineStr">
        <is>
          <t>Capital outlay</t>
        </is>
      </c>
      <c r="B140" s="36">
        <f>SUMIFS(GF_Budget_Detail!$E$5:$E$295,GF_Budget_Detail!$A$5:$A$295,$J$119,GF_Budget_Detail!$D$5:$D$295,"Capital outlay")</f>
        <v/>
      </c>
      <c r="C140" s="36">
        <f>SUMIFS(GF_Budget_Detail!$F$5:$F$295,GF_Budget_Detail!$A$5:$A$295,$J$119,GF_Budget_Detail!$D$5:$D$295,"Capital outlay")</f>
        <v/>
      </c>
      <c r="D140" s="36">
        <f>SUMIFS(GF_Budget_Detail!$G$5:$G$295,GF_Budget_Detail!$A$5:$A$295,$J$119,GF_Budget_Detail!$D$5:$D$295,"Capital outlay")</f>
        <v/>
      </c>
      <c r="E140" s="22">
        <f>C140-B140</f>
        <v/>
      </c>
      <c r="F140" s="22">
        <f>-(D140-C140)</f>
        <v/>
      </c>
      <c r="G140" s="43">
        <f>-(D140-B140)</f>
        <v/>
      </c>
      <c r="H140" s="33">
        <f>IFERROR(F140/ABS(C140),0)</f>
        <v/>
      </c>
      <c r="I140" s="44">
        <f>IF(AND(ABS(F140)&gt;=$L$2,ABS(H140)&gt;=$L$3),"Explain","")</f>
        <v/>
      </c>
      <c r="J140" s="2" t="n"/>
      <c r="K140" s="2" t="n"/>
      <c r="L140" s="2" t="n"/>
    </row>
    <row r="141">
      <c r="A141" s="21" t="inlineStr">
        <is>
          <t>Debt service - principal</t>
        </is>
      </c>
      <c r="B141" s="36">
        <f>SUMIFS(GF_Budget_Detail!$E$5:$E$295,GF_Budget_Detail!$A$5:$A$295,$J$119,GF_Budget_Detail!$D$5:$D$295,"Debt service - principal")</f>
        <v/>
      </c>
      <c r="C141" s="36">
        <f>SUMIFS(GF_Budget_Detail!$F$5:$F$295,GF_Budget_Detail!$A$5:$A$295,$J$119,GF_Budget_Detail!$D$5:$D$295,"Debt service - principal")</f>
        <v/>
      </c>
      <c r="D141" s="36">
        <f>SUMIFS(GF_Budget_Detail!$G$5:$G$295,GF_Budget_Detail!$A$5:$A$295,$J$119,GF_Budget_Detail!$D$5:$D$295,"Debt service - principal")</f>
        <v/>
      </c>
      <c r="E141" s="22">
        <f>C141-B141</f>
        <v/>
      </c>
      <c r="F141" s="22">
        <f>-(D141-C141)</f>
        <v/>
      </c>
      <c r="G141" s="43">
        <f>-(D141-B141)</f>
        <v/>
      </c>
      <c r="H141" s="33">
        <f>IFERROR(F141/ABS(C141),0)</f>
        <v/>
      </c>
      <c r="I141" s="44">
        <f>IF(AND(ABS(F141)&gt;=$L$2,ABS(H141)&gt;=$L$3),"Explain","")</f>
        <v/>
      </c>
      <c r="J141" s="2" t="n"/>
      <c r="K141" s="2" t="n"/>
      <c r="L141" s="2" t="n"/>
    </row>
    <row r="142">
      <c r="A142" s="21" t="inlineStr">
        <is>
          <t>Debt service - interest</t>
        </is>
      </c>
      <c r="B142" s="36">
        <f>SUMIFS(GF_Budget_Detail!$E$5:$E$295,GF_Budget_Detail!$A$5:$A$295,$J$119,GF_Budget_Detail!$D$5:$D$295,"Debt service - interest")</f>
        <v/>
      </c>
      <c r="C142" s="36">
        <f>SUMIFS(GF_Budget_Detail!$F$5:$F$295,GF_Budget_Detail!$A$5:$A$295,$J$119,GF_Budget_Detail!$D$5:$D$295,"Debt service - interest")</f>
        <v/>
      </c>
      <c r="D142" s="36">
        <f>SUMIFS(GF_Budget_Detail!$G$5:$G$295,GF_Budget_Detail!$A$5:$A$295,$J$119,GF_Budget_Detail!$D$5:$D$295,"Debt service - interest")</f>
        <v/>
      </c>
      <c r="E142" s="22">
        <f>C142-B142</f>
        <v/>
      </c>
      <c r="F142" s="22">
        <f>-(D142-C142)</f>
        <v/>
      </c>
      <c r="G142" s="43">
        <f>-(D142-B142)</f>
        <v/>
      </c>
      <c r="H142" s="33">
        <f>IFERROR(F142/ABS(C142),0)</f>
        <v/>
      </c>
      <c r="I142" s="44">
        <f>IF(AND(ABS(F142)&gt;=$L$2,ABS(H142)&gt;=$L$3),"Explain","")</f>
        <v/>
      </c>
      <c r="J142" s="2" t="n"/>
      <c r="K142" s="2" t="n"/>
      <c r="L142" s="2" t="n"/>
    </row>
    <row r="143">
      <c r="A143" s="21" t="inlineStr">
        <is>
          <t>Non-departmental (budget-report basis)</t>
        </is>
      </c>
      <c r="B143" s="36">
        <f>SUMIFS(GF_Budget_Detail!$E$5:$E$295,GF_Budget_Detail!$A$5:$A$295,$J$119,GF_Budget_Detail!$D$5:$D$295,"Non-departmental (budget-report basis)")</f>
        <v/>
      </c>
      <c r="C143" s="36">
        <f>SUMIFS(GF_Budget_Detail!$F$5:$F$295,GF_Budget_Detail!$A$5:$A$295,$J$119,GF_Budget_Detail!$D$5:$D$295,"Non-departmental (budget-report basis)")</f>
        <v/>
      </c>
      <c r="D143" s="36">
        <f>SUMIFS(GF_Budget_Detail!$G$5:$G$295,GF_Budget_Detail!$A$5:$A$295,$J$119,GF_Budget_Detail!$D$5:$D$295,"Non-departmental (budget-report basis)")</f>
        <v/>
      </c>
      <c r="E143" s="22">
        <f>C143-B143</f>
        <v/>
      </c>
      <c r="F143" s="22">
        <f>-(D143-C143)</f>
        <v/>
      </c>
      <c r="G143" s="43">
        <f>-(D143-B143)</f>
        <v/>
      </c>
      <c r="H143" s="33">
        <f>IFERROR(F143/ABS(C143),0)</f>
        <v/>
      </c>
      <c r="I143" s="44">
        <f>IF(AND(ABS(F143)&gt;=$L$2,ABS(H143)&gt;=$L$3),"Explain","")</f>
        <v/>
      </c>
      <c r="J143" s="2" t="n"/>
      <c r="K143" s="2" t="n"/>
      <c r="L143" s="2" t="n"/>
    </row>
    <row r="144">
      <c r="A144" s="21" t="inlineStr">
        <is>
          <t>Original budget not itemized by department</t>
        </is>
      </c>
      <c r="B144" s="36">
        <f>SUMIFS(GF_Budget_Detail!$E$5:$E$295,GF_Budget_Detail!$A$5:$A$295,$J$119,GF_Budget_Detail!$D$5:$D$295,"Original budget not itemized by department")</f>
        <v/>
      </c>
      <c r="C144" s="36">
        <f>SUMIFS(GF_Budget_Detail!$F$5:$F$295,GF_Budget_Detail!$A$5:$A$295,$J$119,GF_Budget_Detail!$D$5:$D$295,"Original budget not itemized by department")</f>
        <v/>
      </c>
      <c r="D144" s="36">
        <f>SUMIFS(GF_Budget_Detail!$G$5:$G$295,GF_Budget_Detail!$A$5:$A$295,$J$119,GF_Budget_Detail!$D$5:$D$295,"Original budget not itemized by department")</f>
        <v/>
      </c>
      <c r="E144" s="22">
        <f>C144-B144</f>
        <v/>
      </c>
      <c r="F144" s="22">
        <f>-(D144-C144)</f>
        <v/>
      </c>
      <c r="G144" s="43">
        <f>-(D144-B144)</f>
        <v/>
      </c>
      <c r="H144" s="33">
        <f>IFERROR(F144/ABS(C144),0)</f>
        <v/>
      </c>
      <c r="I144" s="44">
        <f>IF(AND(ABS(F144)&gt;=$L$2,ABS(H144)&gt;=$L$3),"Explain","")</f>
        <v/>
      </c>
      <c r="J144" s="2" t="n"/>
      <c r="K144" s="2" t="n"/>
      <c r="L144" s="2" t="n"/>
    </row>
    <row r="145">
      <c r="A145" s="12" t="inlineStr">
        <is>
          <t>Total expenditures</t>
        </is>
      </c>
      <c r="B145" s="24">
        <f>SUM(B132:B144)</f>
        <v/>
      </c>
      <c r="C145" s="24">
        <f>SUM(C132:C144)</f>
        <v/>
      </c>
      <c r="D145" s="24">
        <f>SUM(D132:D144)</f>
        <v/>
      </c>
      <c r="E145" s="24">
        <f>C145-B145</f>
        <v/>
      </c>
      <c r="F145" s="24">
        <f>-(D145-C145)</f>
        <v/>
      </c>
      <c r="G145" s="24">
        <f>-(D145-B145)</f>
        <v/>
      </c>
      <c r="H145" s="45">
        <f>IFERROR(F145/ABS(C145),0)</f>
        <v/>
      </c>
      <c r="I145" s="46">
        <f>IF(AND(ABS(F145)&gt;=$L$2,ABS(H145)&gt;=$L$3),"Explain","")</f>
        <v/>
      </c>
      <c r="J145" s="2" t="n"/>
      <c r="K145" s="2" t="n"/>
      <c r="L145" s="2" t="n"/>
    </row>
    <row r="146">
      <c r="A146" s="2" t="n"/>
      <c r="B146" s="2" t="n"/>
      <c r="C146" s="2" t="n"/>
      <c r="D146" s="2" t="n"/>
      <c r="E146" s="2" t="n"/>
      <c r="F146" s="2" t="n"/>
      <c r="G146" s="2" t="n"/>
      <c r="H146" s="2" t="n"/>
      <c r="I146" s="2" t="n"/>
      <c r="J146" s="2" t="n"/>
      <c r="K146" s="2" t="n"/>
      <c r="L146" s="2" t="n"/>
    </row>
    <row r="147">
      <c r="A147" s="21" t="inlineStr">
        <is>
          <t>Transfers in</t>
        </is>
      </c>
      <c r="B147" s="36">
        <f>SUMIFS(GF_Budget_Detail!$E$5:$E$295,GF_Budget_Detail!$A$5:$A$295,$J$119,GF_Budget_Detail!$D$5:$D$295,"Transfers in")</f>
        <v/>
      </c>
      <c r="C147" s="36">
        <f>SUMIFS(GF_Budget_Detail!$F$5:$F$295,GF_Budget_Detail!$A$5:$A$295,$J$119,GF_Budget_Detail!$D$5:$D$295,"Transfers in")</f>
        <v/>
      </c>
      <c r="D147" s="36">
        <f>SUMIFS(GF_Budget_Detail!$G$5:$G$295,GF_Budget_Detail!$A$5:$A$295,$J$119,GF_Budget_Detail!$D$5:$D$295,"Transfers in")</f>
        <v/>
      </c>
      <c r="E147" s="22">
        <f>C147-B147</f>
        <v/>
      </c>
      <c r="F147" s="22">
        <f>(D147-C147)</f>
        <v/>
      </c>
      <c r="G147" s="43">
        <f>(D147-B147)</f>
        <v/>
      </c>
      <c r="H147" s="33">
        <f>IFERROR(F147/ABS(C147),0)</f>
        <v/>
      </c>
      <c r="I147" s="44">
        <f>IF(AND(ABS(F147)&gt;=$L$2,ABS(H147)&gt;=$L$3),"Explain","")</f>
        <v/>
      </c>
      <c r="J147" s="2" t="n"/>
      <c r="K147" s="2" t="n"/>
      <c r="L147" s="2" t="n"/>
    </row>
    <row r="148">
      <c r="A148" s="21" t="inlineStr">
        <is>
          <t>Transfers out</t>
        </is>
      </c>
      <c r="B148" s="36">
        <f>SUMIFS(GF_Budget_Detail!$E$5:$E$295,GF_Budget_Detail!$A$5:$A$295,$J$119,GF_Budget_Detail!$D$5:$D$295,"Transfers out")</f>
        <v/>
      </c>
      <c r="C148" s="36">
        <f>SUMIFS(GF_Budget_Detail!$F$5:$F$295,GF_Budget_Detail!$A$5:$A$295,$J$119,GF_Budget_Detail!$D$5:$D$295,"Transfers out")</f>
        <v/>
      </c>
      <c r="D148" s="36">
        <f>SUMIFS(GF_Budget_Detail!$G$5:$G$295,GF_Budget_Detail!$A$5:$A$295,$J$119,GF_Budget_Detail!$D$5:$D$295,"Transfers out")</f>
        <v/>
      </c>
      <c r="E148" s="22">
        <f>C148-B148</f>
        <v/>
      </c>
      <c r="F148" s="22">
        <f>(D148-C148)</f>
        <v/>
      </c>
      <c r="G148" s="43">
        <f>(D148-B148)</f>
        <v/>
      </c>
      <c r="H148" s="33">
        <f>IFERROR(F148/ABS(C148),0)</f>
        <v/>
      </c>
      <c r="I148" s="44">
        <f>IF(AND(ABS(F148)&gt;=$L$2,ABS(H148)&gt;=$L$3),"Explain","")</f>
        <v/>
      </c>
      <c r="J148" s="2" t="n"/>
      <c r="K148" s="2" t="n"/>
      <c r="L148" s="2" t="n"/>
    </row>
    <row r="149">
      <c r="A149" s="21" t="inlineStr">
        <is>
          <t>Debt / lease financing proceeds</t>
        </is>
      </c>
      <c r="B149" s="36">
        <f>SUMIFS(GF_Budget_Detail!$E$5:$E$295,GF_Budget_Detail!$A$5:$A$295,$J$119,GF_Budget_Detail!$D$5:$D$295,"Debt / lease financing proceeds")</f>
        <v/>
      </c>
      <c r="C149" s="36">
        <f>SUMIFS(GF_Budget_Detail!$F$5:$F$295,GF_Budget_Detail!$A$5:$A$295,$J$119,GF_Budget_Detail!$D$5:$D$295,"Debt / lease financing proceeds")</f>
        <v/>
      </c>
      <c r="D149" s="36">
        <f>SUMIFS(GF_Budget_Detail!$G$5:$G$295,GF_Budget_Detail!$A$5:$A$295,$J$119,GF_Budget_Detail!$D$5:$D$295,"Debt / lease financing proceeds")</f>
        <v/>
      </c>
      <c r="E149" s="22">
        <f>C149-B149</f>
        <v/>
      </c>
      <c r="F149" s="22">
        <f>(D149-C149)</f>
        <v/>
      </c>
      <c r="G149" s="43">
        <f>(D149-B149)</f>
        <v/>
      </c>
      <c r="H149" s="33">
        <f>IFERROR(F149/ABS(C149),0)</f>
        <v/>
      </c>
      <c r="I149" s="44">
        <f>IF(AND(ABS(F149)&gt;=$L$2,ABS(H149)&gt;=$L$3),"Explain","")</f>
        <v/>
      </c>
      <c r="J149" s="2" t="n"/>
      <c r="K149" s="2" t="n"/>
      <c r="L149" s="2" t="n"/>
    </row>
    <row r="150">
      <c r="A150" s="21" t="inlineStr">
        <is>
          <t>Proceeds from sale of capital assets</t>
        </is>
      </c>
      <c r="B150" s="36">
        <f>SUMIFS(GF_Budget_Detail!$E$5:$E$295,GF_Budget_Detail!$A$5:$A$295,$J$119,GF_Budget_Detail!$D$5:$D$295,"Proceeds from sale of capital assets")</f>
        <v/>
      </c>
      <c r="C150" s="36">
        <f>SUMIFS(GF_Budget_Detail!$F$5:$F$295,GF_Budget_Detail!$A$5:$A$295,$J$119,GF_Budget_Detail!$D$5:$D$295,"Proceeds from sale of capital assets")</f>
        <v/>
      </c>
      <c r="D150" s="36">
        <f>SUMIFS(GF_Budget_Detail!$G$5:$G$295,GF_Budget_Detail!$A$5:$A$295,$J$119,GF_Budget_Detail!$D$5:$D$295,"Proceeds from sale of capital assets")</f>
        <v/>
      </c>
      <c r="E150" s="22">
        <f>C150-B150</f>
        <v/>
      </c>
      <c r="F150" s="22">
        <f>(D150-C150)</f>
        <v/>
      </c>
      <c r="G150" s="43">
        <f>(D150-B150)</f>
        <v/>
      </c>
      <c r="H150" s="33">
        <f>IFERROR(F150/ABS(C150),0)</f>
        <v/>
      </c>
      <c r="I150" s="44">
        <f>IF(AND(ABS(F150)&gt;=$L$2,ABS(H150)&gt;=$L$3),"Explain","")</f>
        <v/>
      </c>
      <c r="J150" s="2" t="n"/>
      <c r="K150" s="2" t="n"/>
      <c r="L150" s="2" t="n"/>
    </row>
    <row r="151">
      <c r="A151" s="21" t="inlineStr">
        <is>
          <t>Special items</t>
        </is>
      </c>
      <c r="B151" s="36">
        <f>SUMIFS(GF_Budget_Detail!$E$5:$E$295,GF_Budget_Detail!$A$5:$A$295,$J$119,GF_Budget_Detail!$D$5:$D$295,"Special items")</f>
        <v/>
      </c>
      <c r="C151" s="36">
        <f>SUMIFS(GF_Budget_Detail!$F$5:$F$295,GF_Budget_Detail!$A$5:$A$295,$J$119,GF_Budget_Detail!$D$5:$D$295,"Special items")</f>
        <v/>
      </c>
      <c r="D151" s="36">
        <f>SUMIFS(GF_Budget_Detail!$G$5:$G$295,GF_Budget_Detail!$A$5:$A$295,$J$119,GF_Budget_Detail!$D$5:$D$295,"Special items")</f>
        <v/>
      </c>
      <c r="E151" s="22">
        <f>C151-B151</f>
        <v/>
      </c>
      <c r="F151" s="22">
        <f>(D151-C151)</f>
        <v/>
      </c>
      <c r="G151" s="43">
        <f>(D151-B151)</f>
        <v/>
      </c>
      <c r="H151" s="33">
        <f>IFERROR(F151/ABS(C151),0)</f>
        <v/>
      </c>
      <c r="I151" s="44">
        <f>IF(AND(ABS(F151)&gt;=$L$2,ABS(H151)&gt;=$L$3),"Explain","")</f>
        <v/>
      </c>
      <c r="J151" s="2" t="n"/>
      <c r="K151" s="2" t="n"/>
      <c r="L151" s="2" t="n"/>
    </row>
    <row r="152">
      <c r="A152" s="12" t="inlineStr">
        <is>
          <t>Total other financing sources (uses) and special items</t>
        </is>
      </c>
      <c r="B152" s="24">
        <f>SUM(B147:B151)</f>
        <v/>
      </c>
      <c r="C152" s="24">
        <f>SUM(C147:C151)</f>
        <v/>
      </c>
      <c r="D152" s="24">
        <f>SUM(D147:D151)</f>
        <v/>
      </c>
      <c r="E152" s="24">
        <f>C152-B152</f>
        <v/>
      </c>
      <c r="F152" s="24">
        <f>(D152-C152)</f>
        <v/>
      </c>
      <c r="G152" s="24">
        <f>(D152-B152)</f>
        <v/>
      </c>
      <c r="H152" s="45">
        <f>IFERROR(F152/ABS(C152),0)</f>
        <v/>
      </c>
      <c r="I152" s="46">
        <f>IF(AND(ABS(F152)&gt;=$L$2,ABS(H152)&gt;=$L$3),"Explain","")</f>
        <v/>
      </c>
      <c r="J152" s="2" t="n"/>
      <c r="K152" s="2" t="n"/>
      <c r="L152" s="2" t="n"/>
    </row>
    <row r="153">
      <c r="A153" s="2" t="n"/>
      <c r="B153" s="2" t="n"/>
      <c r="C153" s="2" t="n"/>
      <c r="D153" s="2" t="n"/>
      <c r="E153" s="2" t="n"/>
      <c r="F153" s="2" t="n"/>
      <c r="G153" s="2" t="n"/>
      <c r="H153" s="2" t="n"/>
      <c r="I153" s="2" t="n"/>
      <c r="J153" s="2" t="n"/>
      <c r="K153" s="2" t="n"/>
      <c r="L153" s="2" t="n"/>
    </row>
    <row r="154">
      <c r="A154" s="12" t="inlineStr">
        <is>
          <t>Net change in fund balance</t>
        </is>
      </c>
      <c r="B154" s="31">
        <f>B130-B145+B152</f>
        <v/>
      </c>
      <c r="C154" s="31">
        <f>C130-C145+C152</f>
        <v/>
      </c>
      <c r="D154" s="31">
        <f>D130-D145+D152</f>
        <v/>
      </c>
      <c r="E154" s="31">
        <f>C154-B154</f>
        <v/>
      </c>
      <c r="F154" s="31">
        <f>D154-C154</f>
        <v/>
      </c>
      <c r="G154" s="31">
        <f>D154-B154</f>
        <v/>
      </c>
      <c r="H154" s="2" t="n"/>
      <c r="I154" s="2" t="n"/>
      <c r="J154" s="2" t="n"/>
      <c r="K154" s="2" t="n"/>
      <c r="L154" s="2" t="n"/>
    </row>
    <row r="155">
      <c r="A155" s="2" t="n"/>
      <c r="B155" s="2" t="n"/>
      <c r="C155" s="2" t="n"/>
      <c r="D155" s="2" t="n"/>
      <c r="E155" s="2" t="n"/>
      <c r="F155" s="2" t="n"/>
      <c r="G155" s="2" t="n"/>
      <c r="H155" s="2" t="n"/>
      <c r="I155" s="2" t="n"/>
      <c r="J155" s="2" t="n"/>
      <c r="K155" s="2" t="n"/>
      <c r="L155" s="2" t="n"/>
    </row>
    <row r="156">
      <c r="A156" s="2" t="n"/>
      <c r="B156" s="2" t="n"/>
      <c r="C156" s="2" t="n"/>
      <c r="D156" s="2" t="n"/>
      <c r="E156" s="2" t="n"/>
      <c r="F156" s="2" t="n"/>
      <c r="G156" s="2" t="n"/>
      <c r="H156" s="2" t="n"/>
      <c r="I156" s="2" t="n"/>
      <c r="J156" s="2" t="n"/>
      <c r="K156" s="2" t="n"/>
      <c r="L156" s="2" t="n"/>
    </row>
    <row r="157">
      <c r="A157" s="16" t="inlineStr">
        <is>
          <t>FY2017-18 (year ended June 30, 2018)  -  Budgetary comparison schedule, General Fund  -  GAAP (modified accrual) budgetary basis</t>
        </is>
      </c>
      <c r="B157" s="39" t="n"/>
      <c r="C157" s="39" t="n"/>
      <c r="D157" s="39" t="n"/>
      <c r="E157" s="39" t="n"/>
      <c r="F157" s="39" t="n"/>
      <c r="G157" s="39" t="n"/>
      <c r="H157" s="39" t="n"/>
      <c r="I157" s="39" t="n"/>
      <c r="J157" s="40" t="n">
        <v>2018</v>
      </c>
      <c r="K157" s="2" t="n"/>
      <c r="L157" s="2" t="n"/>
    </row>
    <row r="158" ht="54" customHeight="1">
      <c r="A158" s="41" t="inlineStr">
        <is>
          <t>Category</t>
        </is>
      </c>
      <c r="B158" s="41" t="inlineStr">
        <is>
          <t>Budgeted amounts - Original</t>
        </is>
      </c>
      <c r="C158" s="41" t="inlineStr">
        <is>
          <t>Budgeted amounts - Final</t>
        </is>
      </c>
      <c r="D158" s="41" t="inlineStr">
        <is>
          <t>Actual amounts (budgetary basis)</t>
        </is>
      </c>
      <c r="E158" s="41" t="inlineStr">
        <is>
          <t>Variance: Original to Final budget, increase (decrease)</t>
        </is>
      </c>
      <c r="F158" s="41" t="inlineStr">
        <is>
          <t>Variance with Final budget, positive (negative)</t>
        </is>
      </c>
      <c r="G158" s="42" t="inlineStr">
        <is>
          <t>Variance with Original budget, positive (negative) [supplementary]</t>
        </is>
      </c>
      <c r="H158" s="41" t="inlineStr">
        <is>
          <t>Variance with Final budget %</t>
        </is>
      </c>
      <c r="I158" s="41" t="inlineStr">
        <is>
          <t>Significant variance? (GASB 103 note candidate)</t>
        </is>
      </c>
      <c r="J158" s="2" t="n"/>
      <c r="K158" s="2" t="n"/>
      <c r="L158" s="2" t="n"/>
    </row>
    <row r="159">
      <c r="A159" s="21" t="inlineStr">
        <is>
          <t>Property taxes</t>
        </is>
      </c>
      <c r="B159" s="36">
        <f>SUMIFS(GF_Budget_Detail!$E$5:$E$295,GF_Budget_Detail!$A$5:$A$295,$J$157,GF_Budget_Detail!$D$5:$D$295,"Property taxes")</f>
        <v/>
      </c>
      <c r="C159" s="36">
        <f>SUMIFS(GF_Budget_Detail!$F$5:$F$295,GF_Budget_Detail!$A$5:$A$295,$J$157,GF_Budget_Detail!$D$5:$D$295,"Property taxes")</f>
        <v/>
      </c>
      <c r="D159" s="36">
        <f>SUMIFS(GF_Budget_Detail!$G$5:$G$295,GF_Budget_Detail!$A$5:$A$295,$J$157,GF_Budget_Detail!$D$5:$D$295,"Property taxes")</f>
        <v/>
      </c>
      <c r="E159" s="22">
        <f>C159-B159</f>
        <v/>
      </c>
      <c r="F159" s="22">
        <f>(D159-C159)</f>
        <v/>
      </c>
      <c r="G159" s="43">
        <f>(D159-B159)</f>
        <v/>
      </c>
      <c r="H159" s="33">
        <f>IFERROR(F159/ABS(C159),0)</f>
        <v/>
      </c>
      <c r="I159" s="44">
        <f>IF(AND(ABS(F159)&gt;=$L$2,ABS(H159)&gt;=$L$3),"Explain","")</f>
        <v/>
      </c>
      <c r="J159" s="2" t="n"/>
      <c r="K159" s="2" t="n"/>
      <c r="L159" s="2" t="n"/>
    </row>
    <row r="160">
      <c r="A160" s="21" t="inlineStr">
        <is>
          <t>Taxes other than property</t>
        </is>
      </c>
      <c r="B160" s="36">
        <f>SUMIFS(GF_Budget_Detail!$E$5:$E$295,GF_Budget_Detail!$A$5:$A$295,$J$157,GF_Budget_Detail!$D$5:$D$295,"Taxes other than property")</f>
        <v/>
      </c>
      <c r="C160" s="36">
        <f>SUMIFS(GF_Budget_Detail!$F$5:$F$295,GF_Budget_Detail!$A$5:$A$295,$J$157,GF_Budget_Detail!$D$5:$D$295,"Taxes other than property")</f>
        <v/>
      </c>
      <c r="D160" s="36">
        <f>SUMIFS(GF_Budget_Detail!$G$5:$G$295,GF_Budget_Detail!$A$5:$A$295,$J$157,GF_Budget_Detail!$D$5:$D$295,"Taxes other than property")</f>
        <v/>
      </c>
      <c r="E160" s="22">
        <f>C160-B160</f>
        <v/>
      </c>
      <c r="F160" s="22">
        <f>(D160-C160)</f>
        <v/>
      </c>
      <c r="G160" s="43">
        <f>(D160-B160)</f>
        <v/>
      </c>
      <c r="H160" s="33">
        <f>IFERROR(F160/ABS(C160),0)</f>
        <v/>
      </c>
      <c r="I160" s="44">
        <f>IF(AND(ABS(F160)&gt;=$L$2,ABS(H160)&gt;=$L$3),"Explain","")</f>
        <v/>
      </c>
      <c r="J160" s="2" t="n"/>
      <c r="K160" s="2" t="n"/>
      <c r="L160" s="2" t="n"/>
    </row>
    <row r="161">
      <c r="A161" s="21" t="inlineStr">
        <is>
          <t>Taxes and assessments (combined)</t>
        </is>
      </c>
      <c r="B161" s="36">
        <f>SUMIFS(GF_Budget_Detail!$E$5:$E$295,GF_Budget_Detail!$A$5:$A$295,$J$157,GF_Budget_Detail!$D$5:$D$295,"Taxes and assessments (combined)")</f>
        <v/>
      </c>
      <c r="C161" s="36">
        <f>SUMIFS(GF_Budget_Detail!$F$5:$F$295,GF_Budget_Detail!$A$5:$A$295,$J$157,GF_Budget_Detail!$D$5:$D$295,"Taxes and assessments (combined)")</f>
        <v/>
      </c>
      <c r="D161" s="36">
        <f>SUMIFS(GF_Budget_Detail!$G$5:$G$295,GF_Budget_Detail!$A$5:$A$295,$J$157,GF_Budget_Detail!$D$5:$D$295,"Taxes and assessments (combined)")</f>
        <v/>
      </c>
      <c r="E161" s="22">
        <f>C161-B161</f>
        <v/>
      </c>
      <c r="F161" s="22">
        <f>(D161-C161)</f>
        <v/>
      </c>
      <c r="G161" s="43">
        <f>(D161-B161)</f>
        <v/>
      </c>
      <c r="H161" s="33">
        <f>IFERROR(F161/ABS(C161),0)</f>
        <v/>
      </c>
      <c r="I161" s="44">
        <f>IF(AND(ABS(F161)&gt;=$L$2,ABS(H161)&gt;=$L$3),"Explain","")</f>
        <v/>
      </c>
      <c r="J161" s="2" t="n"/>
      <c r="K161" s="2" t="n"/>
      <c r="L161" s="2" t="n"/>
    </row>
    <row r="162">
      <c r="A162" s="21" t="inlineStr">
        <is>
          <t>Licenses and permits</t>
        </is>
      </c>
      <c r="B162" s="36">
        <f>SUMIFS(GF_Budget_Detail!$E$5:$E$295,GF_Budget_Detail!$A$5:$A$295,$J$157,GF_Budget_Detail!$D$5:$D$295,"Licenses and permits")</f>
        <v/>
      </c>
      <c r="C162" s="36">
        <f>SUMIFS(GF_Budget_Detail!$F$5:$F$295,GF_Budget_Detail!$A$5:$A$295,$J$157,GF_Budget_Detail!$D$5:$D$295,"Licenses and permits")</f>
        <v/>
      </c>
      <c r="D162" s="36">
        <f>SUMIFS(GF_Budget_Detail!$G$5:$G$295,GF_Budget_Detail!$A$5:$A$295,$J$157,GF_Budget_Detail!$D$5:$D$295,"Licenses and permits")</f>
        <v/>
      </c>
      <c r="E162" s="22">
        <f>C162-B162</f>
        <v/>
      </c>
      <c r="F162" s="22">
        <f>(D162-C162)</f>
        <v/>
      </c>
      <c r="G162" s="43">
        <f>(D162-B162)</f>
        <v/>
      </c>
      <c r="H162" s="33">
        <f>IFERROR(F162/ABS(C162),0)</f>
        <v/>
      </c>
      <c r="I162" s="44">
        <f>IF(AND(ABS(F162)&gt;=$L$2,ABS(H162)&gt;=$L$3),"Explain","")</f>
        <v/>
      </c>
      <c r="J162" s="2" t="n"/>
      <c r="K162" s="2" t="n"/>
      <c r="L162" s="2" t="n"/>
    </row>
    <row r="163">
      <c r="A163" s="21" t="inlineStr">
        <is>
          <t>Fines and forfeitures</t>
        </is>
      </c>
      <c r="B163" s="36">
        <f>SUMIFS(GF_Budget_Detail!$E$5:$E$295,GF_Budget_Detail!$A$5:$A$295,$J$157,GF_Budget_Detail!$D$5:$D$295,"Fines and forfeitures")</f>
        <v/>
      </c>
      <c r="C163" s="36">
        <f>SUMIFS(GF_Budget_Detail!$F$5:$F$295,GF_Budget_Detail!$A$5:$A$295,$J$157,GF_Budget_Detail!$D$5:$D$295,"Fines and forfeitures")</f>
        <v/>
      </c>
      <c r="D163" s="36">
        <f>SUMIFS(GF_Budget_Detail!$G$5:$G$295,GF_Budget_Detail!$A$5:$A$295,$J$157,GF_Budget_Detail!$D$5:$D$295,"Fines and forfeitures")</f>
        <v/>
      </c>
      <c r="E163" s="22">
        <f>C163-B163</f>
        <v/>
      </c>
      <c r="F163" s="22">
        <f>(D163-C163)</f>
        <v/>
      </c>
      <c r="G163" s="43">
        <f>(D163-B163)</f>
        <v/>
      </c>
      <c r="H163" s="33">
        <f>IFERROR(F163/ABS(C163),0)</f>
        <v/>
      </c>
      <c r="I163" s="44">
        <f>IF(AND(ABS(F163)&gt;=$L$2,ABS(H163)&gt;=$L$3),"Explain","")</f>
        <v/>
      </c>
      <c r="J163" s="2" t="n"/>
      <c r="K163" s="2" t="n"/>
      <c r="L163" s="2" t="n"/>
    </row>
    <row r="164">
      <c r="A164" s="21" t="inlineStr">
        <is>
          <t>Use of money and property</t>
        </is>
      </c>
      <c r="B164" s="36">
        <f>SUMIFS(GF_Budget_Detail!$E$5:$E$295,GF_Budget_Detail!$A$5:$A$295,$J$157,GF_Budget_Detail!$D$5:$D$295,"Use of money and property")</f>
        <v/>
      </c>
      <c r="C164" s="36">
        <f>SUMIFS(GF_Budget_Detail!$F$5:$F$295,GF_Budget_Detail!$A$5:$A$295,$J$157,GF_Budget_Detail!$D$5:$D$295,"Use of money and property")</f>
        <v/>
      </c>
      <c r="D164" s="36">
        <f>SUMIFS(GF_Budget_Detail!$G$5:$G$295,GF_Budget_Detail!$A$5:$A$295,$J$157,GF_Budget_Detail!$D$5:$D$295,"Use of money and property")</f>
        <v/>
      </c>
      <c r="E164" s="22">
        <f>C164-B164</f>
        <v/>
      </c>
      <c r="F164" s="22">
        <f>(D164-C164)</f>
        <v/>
      </c>
      <c r="G164" s="43">
        <f>(D164-B164)</f>
        <v/>
      </c>
      <c r="H164" s="33">
        <f>IFERROR(F164/ABS(C164),0)</f>
        <v/>
      </c>
      <c r="I164" s="44">
        <f>IF(AND(ABS(F164)&gt;=$L$2,ABS(H164)&gt;=$L$3),"Explain","")</f>
        <v/>
      </c>
      <c r="J164" s="2" t="n"/>
      <c r="K164" s="2" t="n"/>
      <c r="L164" s="2" t="n"/>
    </row>
    <row r="165">
      <c r="A165" s="21" t="inlineStr">
        <is>
          <t>Intergovernmental</t>
        </is>
      </c>
      <c r="B165" s="36">
        <f>SUMIFS(GF_Budget_Detail!$E$5:$E$295,GF_Budget_Detail!$A$5:$A$295,$J$157,GF_Budget_Detail!$D$5:$D$295,"Intergovernmental")</f>
        <v/>
      </c>
      <c r="C165" s="36">
        <f>SUMIFS(GF_Budget_Detail!$F$5:$F$295,GF_Budget_Detail!$A$5:$A$295,$J$157,GF_Budget_Detail!$D$5:$D$295,"Intergovernmental")</f>
        <v/>
      </c>
      <c r="D165" s="36">
        <f>SUMIFS(GF_Budget_Detail!$G$5:$G$295,GF_Budget_Detail!$A$5:$A$295,$J$157,GF_Budget_Detail!$D$5:$D$295,"Intergovernmental")</f>
        <v/>
      </c>
      <c r="E165" s="22">
        <f>C165-B165</f>
        <v/>
      </c>
      <c r="F165" s="22">
        <f>(D165-C165)</f>
        <v/>
      </c>
      <c r="G165" s="43">
        <f>(D165-B165)</f>
        <v/>
      </c>
      <c r="H165" s="33">
        <f>IFERROR(F165/ABS(C165),0)</f>
        <v/>
      </c>
      <c r="I165" s="44">
        <f>IF(AND(ABS(F165)&gt;=$L$2,ABS(H165)&gt;=$L$3),"Explain","")</f>
        <v/>
      </c>
      <c r="J165" s="2" t="n"/>
      <c r="K165" s="2" t="n"/>
      <c r="L165" s="2" t="n"/>
    </row>
    <row r="166">
      <c r="A166" s="21" t="inlineStr">
        <is>
          <t>Charges for services</t>
        </is>
      </c>
      <c r="B166" s="36">
        <f>SUMIFS(GF_Budget_Detail!$E$5:$E$295,GF_Budget_Detail!$A$5:$A$295,$J$157,GF_Budget_Detail!$D$5:$D$295,"Charges for services")</f>
        <v/>
      </c>
      <c r="C166" s="36">
        <f>SUMIFS(GF_Budget_Detail!$F$5:$F$295,GF_Budget_Detail!$A$5:$A$295,$J$157,GF_Budget_Detail!$D$5:$D$295,"Charges for services")</f>
        <v/>
      </c>
      <c r="D166" s="36">
        <f>SUMIFS(GF_Budget_Detail!$G$5:$G$295,GF_Budget_Detail!$A$5:$A$295,$J$157,GF_Budget_Detail!$D$5:$D$295,"Charges for services")</f>
        <v/>
      </c>
      <c r="E166" s="22">
        <f>C166-B166</f>
        <v/>
      </c>
      <c r="F166" s="22">
        <f>(D166-C166)</f>
        <v/>
      </c>
      <c r="G166" s="43">
        <f>(D166-B166)</f>
        <v/>
      </c>
      <c r="H166" s="33">
        <f>IFERROR(F166/ABS(C166),0)</f>
        <v/>
      </c>
      <c r="I166" s="44">
        <f>IF(AND(ABS(F166)&gt;=$L$2,ABS(H166)&gt;=$L$3),"Explain","")</f>
        <v/>
      </c>
      <c r="J166" s="2" t="n"/>
      <c r="K166" s="2" t="n"/>
      <c r="L166" s="2" t="n"/>
    </row>
    <row r="167">
      <c r="A167" s="21" t="inlineStr">
        <is>
          <t>Other revenues</t>
        </is>
      </c>
      <c r="B167" s="36">
        <f>SUMIFS(GF_Budget_Detail!$E$5:$E$295,GF_Budget_Detail!$A$5:$A$295,$J$157,GF_Budget_Detail!$D$5:$D$295,"Other revenues")</f>
        <v/>
      </c>
      <c r="C167" s="36">
        <f>SUMIFS(GF_Budget_Detail!$F$5:$F$295,GF_Budget_Detail!$A$5:$A$295,$J$157,GF_Budget_Detail!$D$5:$D$295,"Other revenues")</f>
        <v/>
      </c>
      <c r="D167" s="36">
        <f>SUMIFS(GF_Budget_Detail!$G$5:$G$295,GF_Budget_Detail!$A$5:$A$295,$J$157,GF_Budget_Detail!$D$5:$D$295,"Other revenues")</f>
        <v/>
      </c>
      <c r="E167" s="22">
        <f>C167-B167</f>
        <v/>
      </c>
      <c r="F167" s="22">
        <f>(D167-C167)</f>
        <v/>
      </c>
      <c r="G167" s="43">
        <f>(D167-B167)</f>
        <v/>
      </c>
      <c r="H167" s="33">
        <f>IFERROR(F167/ABS(C167),0)</f>
        <v/>
      </c>
      <c r="I167" s="44">
        <f>IF(AND(ABS(F167)&gt;=$L$2,ABS(H167)&gt;=$L$3),"Explain","")</f>
        <v/>
      </c>
      <c r="J167" s="2" t="n"/>
      <c r="K167" s="2" t="n"/>
      <c r="L167" s="2" t="n"/>
    </row>
    <row r="168">
      <c r="A168" s="12" t="inlineStr">
        <is>
          <t>Total revenues</t>
        </is>
      </c>
      <c r="B168" s="24">
        <f>SUM(B159:B167)</f>
        <v/>
      </c>
      <c r="C168" s="24">
        <f>SUM(C159:C167)</f>
        <v/>
      </c>
      <c r="D168" s="24">
        <f>SUM(D159:D167)</f>
        <v/>
      </c>
      <c r="E168" s="24">
        <f>C168-B168</f>
        <v/>
      </c>
      <c r="F168" s="24">
        <f>(D168-C168)</f>
        <v/>
      </c>
      <c r="G168" s="24">
        <f>(D168-B168)</f>
        <v/>
      </c>
      <c r="H168" s="45">
        <f>IFERROR(F168/ABS(C168),0)</f>
        <v/>
      </c>
      <c r="I168" s="46">
        <f>IF(AND(ABS(F168)&gt;=$L$2,ABS(H168)&gt;=$L$3),"Explain","")</f>
        <v/>
      </c>
      <c r="J168" s="2" t="n"/>
      <c r="K168" s="2" t="n"/>
      <c r="L168" s="2" t="n"/>
    </row>
    <row r="169">
      <c r="A169" s="2" t="n"/>
      <c r="B169" s="2" t="n"/>
      <c r="C169" s="2" t="n"/>
      <c r="D169" s="2" t="n"/>
      <c r="E169" s="2" t="n"/>
      <c r="F169" s="2" t="n"/>
      <c r="G169" s="2" t="n"/>
      <c r="H169" s="2" t="n"/>
      <c r="I169" s="2" t="n"/>
      <c r="J169" s="2" t="n"/>
      <c r="K169" s="2" t="n"/>
      <c r="L169" s="2" t="n"/>
    </row>
    <row r="170">
      <c r="A170" s="21" t="inlineStr">
        <is>
          <t>General government</t>
        </is>
      </c>
      <c r="B170" s="36">
        <f>SUMIFS(GF_Budget_Detail!$E$5:$E$295,GF_Budget_Detail!$A$5:$A$295,$J$157,GF_Budget_Detail!$D$5:$D$295,"General government")</f>
        <v/>
      </c>
      <c r="C170" s="36">
        <f>SUMIFS(GF_Budget_Detail!$F$5:$F$295,GF_Budget_Detail!$A$5:$A$295,$J$157,GF_Budget_Detail!$D$5:$D$295,"General government")</f>
        <v/>
      </c>
      <c r="D170" s="36">
        <f>SUMIFS(GF_Budget_Detail!$G$5:$G$295,GF_Budget_Detail!$A$5:$A$295,$J$157,GF_Budget_Detail!$D$5:$D$295,"General government")</f>
        <v/>
      </c>
      <c r="E170" s="22">
        <f>C170-B170</f>
        <v/>
      </c>
      <c r="F170" s="22">
        <f>-(D170-C170)</f>
        <v/>
      </c>
      <c r="G170" s="43">
        <f>-(D170-B170)</f>
        <v/>
      </c>
      <c r="H170" s="33">
        <f>IFERROR(F170/ABS(C170),0)</f>
        <v/>
      </c>
      <c r="I170" s="44">
        <f>IF(AND(ABS(F170)&gt;=$L$2,ABS(H170)&gt;=$L$3),"Explain","")</f>
        <v/>
      </c>
      <c r="J170" s="2" t="n"/>
      <c r="K170" s="2" t="n"/>
      <c r="L170" s="2" t="n"/>
    </row>
    <row r="171">
      <c r="A171" s="21" t="inlineStr">
        <is>
          <t>Public works</t>
        </is>
      </c>
      <c r="B171" s="36">
        <f>SUMIFS(GF_Budget_Detail!$E$5:$E$295,GF_Budget_Detail!$A$5:$A$295,$J$157,GF_Budget_Detail!$D$5:$D$295,"Public works")</f>
        <v/>
      </c>
      <c r="C171" s="36">
        <f>SUMIFS(GF_Budget_Detail!$F$5:$F$295,GF_Budget_Detail!$A$5:$A$295,$J$157,GF_Budget_Detail!$D$5:$D$295,"Public works")</f>
        <v/>
      </c>
      <c r="D171" s="36">
        <f>SUMIFS(GF_Budget_Detail!$G$5:$G$295,GF_Budget_Detail!$A$5:$A$295,$J$157,GF_Budget_Detail!$D$5:$D$295,"Public works")</f>
        <v/>
      </c>
      <c r="E171" s="22">
        <f>C171-B171</f>
        <v/>
      </c>
      <c r="F171" s="22">
        <f>-(D171-C171)</f>
        <v/>
      </c>
      <c r="G171" s="43">
        <f>-(D171-B171)</f>
        <v/>
      </c>
      <c r="H171" s="33">
        <f>IFERROR(F171/ABS(C171),0)</f>
        <v/>
      </c>
      <c r="I171" s="44">
        <f>IF(AND(ABS(F171)&gt;=$L$2,ABS(H171)&gt;=$L$3),"Explain","")</f>
        <v/>
      </c>
      <c r="J171" s="2" t="n"/>
      <c r="K171" s="2" t="n"/>
      <c r="L171" s="2" t="n"/>
    </row>
    <row r="172">
      <c r="A172" s="21" t="inlineStr">
        <is>
          <t>Recreation</t>
        </is>
      </c>
      <c r="B172" s="36">
        <f>SUMIFS(GF_Budget_Detail!$E$5:$E$295,GF_Budget_Detail!$A$5:$A$295,$J$157,GF_Budget_Detail!$D$5:$D$295,"Recreation")</f>
        <v/>
      </c>
      <c r="C172" s="36">
        <f>SUMIFS(GF_Budget_Detail!$F$5:$F$295,GF_Budget_Detail!$A$5:$A$295,$J$157,GF_Budget_Detail!$D$5:$D$295,"Recreation")</f>
        <v/>
      </c>
      <c r="D172" s="36">
        <f>SUMIFS(GF_Budget_Detail!$G$5:$G$295,GF_Budget_Detail!$A$5:$A$295,$J$157,GF_Budget_Detail!$D$5:$D$295,"Recreation")</f>
        <v/>
      </c>
      <c r="E172" s="22">
        <f>C172-B172</f>
        <v/>
      </c>
      <c r="F172" s="22">
        <f>-(D172-C172)</f>
        <v/>
      </c>
      <c r="G172" s="43">
        <f>-(D172-B172)</f>
        <v/>
      </c>
      <c r="H172" s="33">
        <f>IFERROR(F172/ABS(C172),0)</f>
        <v/>
      </c>
      <c r="I172" s="44">
        <f>IF(AND(ABS(F172)&gt;=$L$2,ABS(H172)&gt;=$L$3),"Explain","")</f>
        <v/>
      </c>
      <c r="J172" s="2" t="n"/>
      <c r="K172" s="2" t="n"/>
      <c r="L172" s="2" t="n"/>
    </row>
    <row r="173">
      <c r="A173" s="21" t="inlineStr">
        <is>
          <t>Community development</t>
        </is>
      </c>
      <c r="B173" s="36">
        <f>SUMIFS(GF_Budget_Detail!$E$5:$E$295,GF_Budget_Detail!$A$5:$A$295,$J$157,GF_Budget_Detail!$D$5:$D$295,"Community development")</f>
        <v/>
      </c>
      <c r="C173" s="36">
        <f>SUMIFS(GF_Budget_Detail!$F$5:$F$295,GF_Budget_Detail!$A$5:$A$295,$J$157,GF_Budget_Detail!$D$5:$D$295,"Community development")</f>
        <v/>
      </c>
      <c r="D173" s="36">
        <f>SUMIFS(GF_Budget_Detail!$G$5:$G$295,GF_Budget_Detail!$A$5:$A$295,$J$157,GF_Budget_Detail!$D$5:$D$295,"Community development")</f>
        <v/>
      </c>
      <c r="E173" s="22">
        <f>C173-B173</f>
        <v/>
      </c>
      <c r="F173" s="22">
        <f>-(D173-C173)</f>
        <v/>
      </c>
      <c r="G173" s="43">
        <f>-(D173-B173)</f>
        <v/>
      </c>
      <c r="H173" s="33">
        <f>IFERROR(F173/ABS(C173),0)</f>
        <v/>
      </c>
      <c r="I173" s="44">
        <f>IF(AND(ABS(F173)&gt;=$L$2,ABS(H173)&gt;=$L$3),"Explain","")</f>
        <v/>
      </c>
      <c r="J173" s="2" t="n"/>
      <c r="K173" s="2" t="n"/>
      <c r="L173" s="2" t="n"/>
    </row>
    <row r="174">
      <c r="A174" s="21" t="inlineStr">
        <is>
          <t>Public safety - Police</t>
        </is>
      </c>
      <c r="B174" s="36">
        <f>SUMIFS(GF_Budget_Detail!$E$5:$E$295,GF_Budget_Detail!$A$5:$A$295,$J$157,GF_Budget_Detail!$D$5:$D$295,"Public safety - Police")</f>
        <v/>
      </c>
      <c r="C174" s="36">
        <f>SUMIFS(GF_Budget_Detail!$F$5:$F$295,GF_Budget_Detail!$A$5:$A$295,$J$157,GF_Budget_Detail!$D$5:$D$295,"Public safety - Police")</f>
        <v/>
      </c>
      <c r="D174" s="36">
        <f>SUMIFS(GF_Budget_Detail!$G$5:$G$295,GF_Budget_Detail!$A$5:$A$295,$J$157,GF_Budget_Detail!$D$5:$D$295,"Public safety - Police")</f>
        <v/>
      </c>
      <c r="E174" s="22">
        <f>C174-B174</f>
        <v/>
      </c>
      <c r="F174" s="22">
        <f>-(D174-C174)</f>
        <v/>
      </c>
      <c r="G174" s="43">
        <f>-(D174-B174)</f>
        <v/>
      </c>
      <c r="H174" s="33">
        <f>IFERROR(F174/ABS(C174),0)</f>
        <v/>
      </c>
      <c r="I174" s="44">
        <f>IF(AND(ABS(F174)&gt;=$L$2,ABS(H174)&gt;=$L$3),"Explain","")</f>
        <v/>
      </c>
      <c r="J174" s="2" t="n"/>
      <c r="K174" s="2" t="n"/>
      <c r="L174" s="2" t="n"/>
    </row>
    <row r="175">
      <c r="A175" s="21" t="inlineStr">
        <is>
          <t>Public safety - Fire</t>
        </is>
      </c>
      <c r="B175" s="36">
        <f>SUMIFS(GF_Budget_Detail!$E$5:$E$295,GF_Budget_Detail!$A$5:$A$295,$J$157,GF_Budget_Detail!$D$5:$D$295,"Public safety - Fire")</f>
        <v/>
      </c>
      <c r="C175" s="36">
        <f>SUMIFS(GF_Budget_Detail!$F$5:$F$295,GF_Budget_Detail!$A$5:$A$295,$J$157,GF_Budget_Detail!$D$5:$D$295,"Public safety - Fire")</f>
        <v/>
      </c>
      <c r="D175" s="36">
        <f>SUMIFS(GF_Budget_Detail!$G$5:$G$295,GF_Budget_Detail!$A$5:$A$295,$J$157,GF_Budget_Detail!$D$5:$D$295,"Public safety - Fire")</f>
        <v/>
      </c>
      <c r="E175" s="22">
        <f>C175-B175</f>
        <v/>
      </c>
      <c r="F175" s="22">
        <f>-(D175-C175)</f>
        <v/>
      </c>
      <c r="G175" s="43">
        <f>-(D175-B175)</f>
        <v/>
      </c>
      <c r="H175" s="33">
        <f>IFERROR(F175/ABS(C175),0)</f>
        <v/>
      </c>
      <c r="I175" s="44">
        <f>IF(AND(ABS(F175)&gt;=$L$2,ABS(H175)&gt;=$L$3),"Explain","")</f>
        <v/>
      </c>
      <c r="J175" s="2" t="n"/>
      <c r="K175" s="2" t="n"/>
      <c r="L175" s="2" t="n"/>
    </row>
    <row r="176">
      <c r="A176" s="21" t="inlineStr">
        <is>
          <t>Public safety (combined)</t>
        </is>
      </c>
      <c r="B176" s="36">
        <f>SUMIFS(GF_Budget_Detail!$E$5:$E$295,GF_Budget_Detail!$A$5:$A$295,$J$157,GF_Budget_Detail!$D$5:$D$295,"Public safety (combined)")</f>
        <v/>
      </c>
      <c r="C176" s="36">
        <f>SUMIFS(GF_Budget_Detail!$F$5:$F$295,GF_Budget_Detail!$A$5:$A$295,$J$157,GF_Budget_Detail!$D$5:$D$295,"Public safety (combined)")</f>
        <v/>
      </c>
      <c r="D176" s="36">
        <f>SUMIFS(GF_Budget_Detail!$G$5:$G$295,GF_Budget_Detail!$A$5:$A$295,$J$157,GF_Budget_Detail!$D$5:$D$295,"Public safety (combined)")</f>
        <v/>
      </c>
      <c r="E176" s="22">
        <f>C176-B176</f>
        <v/>
      </c>
      <c r="F176" s="22">
        <f>-(D176-C176)</f>
        <v/>
      </c>
      <c r="G176" s="43">
        <f>-(D176-B176)</f>
        <v/>
      </c>
      <c r="H176" s="33">
        <f>IFERROR(F176/ABS(C176),0)</f>
        <v/>
      </c>
      <c r="I176" s="44">
        <f>IF(AND(ABS(F176)&gt;=$L$2,ABS(H176)&gt;=$L$3),"Explain","")</f>
        <v/>
      </c>
      <c r="J176" s="2" t="n"/>
      <c r="K176" s="2" t="n"/>
      <c r="L176" s="2" t="n"/>
    </row>
    <row r="177">
      <c r="A177" s="21" t="inlineStr">
        <is>
          <t>Payment of sales tax to City of Richmond</t>
        </is>
      </c>
      <c r="B177" s="36">
        <f>SUMIFS(GF_Budget_Detail!$E$5:$E$295,GF_Budget_Detail!$A$5:$A$295,$J$157,GF_Budget_Detail!$D$5:$D$295,"Payment of sales tax to City of Richmond")</f>
        <v/>
      </c>
      <c r="C177" s="36">
        <f>SUMIFS(GF_Budget_Detail!$F$5:$F$295,GF_Budget_Detail!$A$5:$A$295,$J$157,GF_Budget_Detail!$D$5:$D$295,"Payment of sales tax to City of Richmond")</f>
        <v/>
      </c>
      <c r="D177" s="36">
        <f>SUMIFS(GF_Budget_Detail!$G$5:$G$295,GF_Budget_Detail!$A$5:$A$295,$J$157,GF_Budget_Detail!$D$5:$D$295,"Payment of sales tax to City of Richmond")</f>
        <v/>
      </c>
      <c r="E177" s="22">
        <f>C177-B177</f>
        <v/>
      </c>
      <c r="F177" s="22">
        <f>-(D177-C177)</f>
        <v/>
      </c>
      <c r="G177" s="43">
        <f>-(D177-B177)</f>
        <v/>
      </c>
      <c r="H177" s="33">
        <f>IFERROR(F177/ABS(C177),0)</f>
        <v/>
      </c>
      <c r="I177" s="44">
        <f>IF(AND(ABS(F177)&gt;=$L$2,ABS(H177)&gt;=$L$3),"Explain","")</f>
        <v/>
      </c>
      <c r="J177" s="2" t="n"/>
      <c r="K177" s="2" t="n"/>
      <c r="L177" s="2" t="n"/>
    </row>
    <row r="178">
      <c r="A178" s="21" t="inlineStr">
        <is>
          <t>Capital outlay</t>
        </is>
      </c>
      <c r="B178" s="36">
        <f>SUMIFS(GF_Budget_Detail!$E$5:$E$295,GF_Budget_Detail!$A$5:$A$295,$J$157,GF_Budget_Detail!$D$5:$D$295,"Capital outlay")</f>
        <v/>
      </c>
      <c r="C178" s="36">
        <f>SUMIFS(GF_Budget_Detail!$F$5:$F$295,GF_Budget_Detail!$A$5:$A$295,$J$157,GF_Budget_Detail!$D$5:$D$295,"Capital outlay")</f>
        <v/>
      </c>
      <c r="D178" s="36">
        <f>SUMIFS(GF_Budget_Detail!$G$5:$G$295,GF_Budget_Detail!$A$5:$A$295,$J$157,GF_Budget_Detail!$D$5:$D$295,"Capital outlay")</f>
        <v/>
      </c>
      <c r="E178" s="22">
        <f>C178-B178</f>
        <v/>
      </c>
      <c r="F178" s="22">
        <f>-(D178-C178)</f>
        <v/>
      </c>
      <c r="G178" s="43">
        <f>-(D178-B178)</f>
        <v/>
      </c>
      <c r="H178" s="33">
        <f>IFERROR(F178/ABS(C178),0)</f>
        <v/>
      </c>
      <c r="I178" s="44">
        <f>IF(AND(ABS(F178)&gt;=$L$2,ABS(H178)&gt;=$L$3),"Explain","")</f>
        <v/>
      </c>
      <c r="J178" s="2" t="n"/>
      <c r="K178" s="2" t="n"/>
      <c r="L178" s="2" t="n"/>
    </row>
    <row r="179">
      <c r="A179" s="21" t="inlineStr">
        <is>
          <t>Debt service - principal</t>
        </is>
      </c>
      <c r="B179" s="36">
        <f>SUMIFS(GF_Budget_Detail!$E$5:$E$295,GF_Budget_Detail!$A$5:$A$295,$J$157,GF_Budget_Detail!$D$5:$D$295,"Debt service - principal")</f>
        <v/>
      </c>
      <c r="C179" s="36">
        <f>SUMIFS(GF_Budget_Detail!$F$5:$F$295,GF_Budget_Detail!$A$5:$A$295,$J$157,GF_Budget_Detail!$D$5:$D$295,"Debt service - principal")</f>
        <v/>
      </c>
      <c r="D179" s="36">
        <f>SUMIFS(GF_Budget_Detail!$G$5:$G$295,GF_Budget_Detail!$A$5:$A$295,$J$157,GF_Budget_Detail!$D$5:$D$295,"Debt service - principal")</f>
        <v/>
      </c>
      <c r="E179" s="22">
        <f>C179-B179</f>
        <v/>
      </c>
      <c r="F179" s="22">
        <f>-(D179-C179)</f>
        <v/>
      </c>
      <c r="G179" s="43">
        <f>-(D179-B179)</f>
        <v/>
      </c>
      <c r="H179" s="33">
        <f>IFERROR(F179/ABS(C179),0)</f>
        <v/>
      </c>
      <c r="I179" s="44">
        <f>IF(AND(ABS(F179)&gt;=$L$2,ABS(H179)&gt;=$L$3),"Explain","")</f>
        <v/>
      </c>
      <c r="J179" s="2" t="n"/>
      <c r="K179" s="2" t="n"/>
      <c r="L179" s="2" t="n"/>
    </row>
    <row r="180">
      <c r="A180" s="21" t="inlineStr">
        <is>
          <t>Debt service - interest</t>
        </is>
      </c>
      <c r="B180" s="36">
        <f>SUMIFS(GF_Budget_Detail!$E$5:$E$295,GF_Budget_Detail!$A$5:$A$295,$J$157,GF_Budget_Detail!$D$5:$D$295,"Debt service - interest")</f>
        <v/>
      </c>
      <c r="C180" s="36">
        <f>SUMIFS(GF_Budget_Detail!$F$5:$F$295,GF_Budget_Detail!$A$5:$A$295,$J$157,GF_Budget_Detail!$D$5:$D$295,"Debt service - interest")</f>
        <v/>
      </c>
      <c r="D180" s="36">
        <f>SUMIFS(GF_Budget_Detail!$G$5:$G$295,GF_Budget_Detail!$A$5:$A$295,$J$157,GF_Budget_Detail!$D$5:$D$295,"Debt service - interest")</f>
        <v/>
      </c>
      <c r="E180" s="22">
        <f>C180-B180</f>
        <v/>
      </c>
      <c r="F180" s="22">
        <f>-(D180-C180)</f>
        <v/>
      </c>
      <c r="G180" s="43">
        <f>-(D180-B180)</f>
        <v/>
      </c>
      <c r="H180" s="33">
        <f>IFERROR(F180/ABS(C180),0)</f>
        <v/>
      </c>
      <c r="I180" s="44">
        <f>IF(AND(ABS(F180)&gt;=$L$2,ABS(H180)&gt;=$L$3),"Explain","")</f>
        <v/>
      </c>
      <c r="J180" s="2" t="n"/>
      <c r="K180" s="2" t="n"/>
      <c r="L180" s="2" t="n"/>
    </row>
    <row r="181">
      <c r="A181" s="21" t="inlineStr">
        <is>
          <t>Non-departmental (budget-report basis)</t>
        </is>
      </c>
      <c r="B181" s="36">
        <f>SUMIFS(GF_Budget_Detail!$E$5:$E$295,GF_Budget_Detail!$A$5:$A$295,$J$157,GF_Budget_Detail!$D$5:$D$295,"Non-departmental (budget-report basis)")</f>
        <v/>
      </c>
      <c r="C181" s="36">
        <f>SUMIFS(GF_Budget_Detail!$F$5:$F$295,GF_Budget_Detail!$A$5:$A$295,$J$157,GF_Budget_Detail!$D$5:$D$295,"Non-departmental (budget-report basis)")</f>
        <v/>
      </c>
      <c r="D181" s="36">
        <f>SUMIFS(GF_Budget_Detail!$G$5:$G$295,GF_Budget_Detail!$A$5:$A$295,$J$157,GF_Budget_Detail!$D$5:$D$295,"Non-departmental (budget-report basis)")</f>
        <v/>
      </c>
      <c r="E181" s="22">
        <f>C181-B181</f>
        <v/>
      </c>
      <c r="F181" s="22">
        <f>-(D181-C181)</f>
        <v/>
      </c>
      <c r="G181" s="43">
        <f>-(D181-B181)</f>
        <v/>
      </c>
      <c r="H181" s="33">
        <f>IFERROR(F181/ABS(C181),0)</f>
        <v/>
      </c>
      <c r="I181" s="44">
        <f>IF(AND(ABS(F181)&gt;=$L$2,ABS(H181)&gt;=$L$3),"Explain","")</f>
        <v/>
      </c>
      <c r="J181" s="2" t="n"/>
      <c r="K181" s="2" t="n"/>
      <c r="L181" s="2" t="n"/>
    </row>
    <row r="182">
      <c r="A182" s="21" t="inlineStr">
        <is>
          <t>Original budget not itemized by department</t>
        </is>
      </c>
      <c r="B182" s="36">
        <f>SUMIFS(GF_Budget_Detail!$E$5:$E$295,GF_Budget_Detail!$A$5:$A$295,$J$157,GF_Budget_Detail!$D$5:$D$295,"Original budget not itemized by department")</f>
        <v/>
      </c>
      <c r="C182" s="36">
        <f>SUMIFS(GF_Budget_Detail!$F$5:$F$295,GF_Budget_Detail!$A$5:$A$295,$J$157,GF_Budget_Detail!$D$5:$D$295,"Original budget not itemized by department")</f>
        <v/>
      </c>
      <c r="D182" s="36">
        <f>SUMIFS(GF_Budget_Detail!$G$5:$G$295,GF_Budget_Detail!$A$5:$A$295,$J$157,GF_Budget_Detail!$D$5:$D$295,"Original budget not itemized by department")</f>
        <v/>
      </c>
      <c r="E182" s="22">
        <f>C182-B182</f>
        <v/>
      </c>
      <c r="F182" s="22">
        <f>-(D182-C182)</f>
        <v/>
      </c>
      <c r="G182" s="43">
        <f>-(D182-B182)</f>
        <v/>
      </c>
      <c r="H182" s="33">
        <f>IFERROR(F182/ABS(C182),0)</f>
        <v/>
      </c>
      <c r="I182" s="44">
        <f>IF(AND(ABS(F182)&gt;=$L$2,ABS(H182)&gt;=$L$3),"Explain","")</f>
        <v/>
      </c>
      <c r="J182" s="2" t="n"/>
      <c r="K182" s="2" t="n"/>
      <c r="L182" s="2" t="n"/>
    </row>
    <row r="183">
      <c r="A183" s="12" t="inlineStr">
        <is>
          <t>Total expenditures</t>
        </is>
      </c>
      <c r="B183" s="24">
        <f>SUM(B170:B182)</f>
        <v/>
      </c>
      <c r="C183" s="24">
        <f>SUM(C170:C182)</f>
        <v/>
      </c>
      <c r="D183" s="24">
        <f>SUM(D170:D182)</f>
        <v/>
      </c>
      <c r="E183" s="24">
        <f>C183-B183</f>
        <v/>
      </c>
      <c r="F183" s="24">
        <f>-(D183-C183)</f>
        <v/>
      </c>
      <c r="G183" s="24">
        <f>-(D183-B183)</f>
        <v/>
      </c>
      <c r="H183" s="45">
        <f>IFERROR(F183/ABS(C183),0)</f>
        <v/>
      </c>
      <c r="I183" s="46">
        <f>IF(AND(ABS(F183)&gt;=$L$2,ABS(H183)&gt;=$L$3),"Explain","")</f>
        <v/>
      </c>
      <c r="J183" s="2" t="n"/>
      <c r="K183" s="2" t="n"/>
      <c r="L183" s="2" t="n"/>
    </row>
    <row r="184">
      <c r="A184" s="2" t="n"/>
      <c r="B184" s="2" t="n"/>
      <c r="C184" s="2" t="n"/>
      <c r="D184" s="2" t="n"/>
      <c r="E184" s="2" t="n"/>
      <c r="F184" s="2" t="n"/>
      <c r="G184" s="2" t="n"/>
      <c r="H184" s="2" t="n"/>
      <c r="I184" s="2" t="n"/>
      <c r="J184" s="2" t="n"/>
      <c r="K184" s="2" t="n"/>
      <c r="L184" s="2" t="n"/>
    </row>
    <row r="185">
      <c r="A185" s="21" t="inlineStr">
        <is>
          <t>Transfers in</t>
        </is>
      </c>
      <c r="B185" s="36">
        <f>SUMIFS(GF_Budget_Detail!$E$5:$E$295,GF_Budget_Detail!$A$5:$A$295,$J$157,GF_Budget_Detail!$D$5:$D$295,"Transfers in")</f>
        <v/>
      </c>
      <c r="C185" s="36">
        <f>SUMIFS(GF_Budget_Detail!$F$5:$F$295,GF_Budget_Detail!$A$5:$A$295,$J$157,GF_Budget_Detail!$D$5:$D$295,"Transfers in")</f>
        <v/>
      </c>
      <c r="D185" s="36">
        <f>SUMIFS(GF_Budget_Detail!$G$5:$G$295,GF_Budget_Detail!$A$5:$A$295,$J$157,GF_Budget_Detail!$D$5:$D$295,"Transfers in")</f>
        <v/>
      </c>
      <c r="E185" s="22">
        <f>C185-B185</f>
        <v/>
      </c>
      <c r="F185" s="22">
        <f>(D185-C185)</f>
        <v/>
      </c>
      <c r="G185" s="43">
        <f>(D185-B185)</f>
        <v/>
      </c>
      <c r="H185" s="33">
        <f>IFERROR(F185/ABS(C185),0)</f>
        <v/>
      </c>
      <c r="I185" s="44">
        <f>IF(AND(ABS(F185)&gt;=$L$2,ABS(H185)&gt;=$L$3),"Explain","")</f>
        <v/>
      </c>
      <c r="J185" s="2" t="n"/>
      <c r="K185" s="2" t="n"/>
      <c r="L185" s="2" t="n"/>
    </row>
    <row r="186">
      <c r="A186" s="21" t="inlineStr">
        <is>
          <t>Transfers out</t>
        </is>
      </c>
      <c r="B186" s="36">
        <f>SUMIFS(GF_Budget_Detail!$E$5:$E$295,GF_Budget_Detail!$A$5:$A$295,$J$157,GF_Budget_Detail!$D$5:$D$295,"Transfers out")</f>
        <v/>
      </c>
      <c r="C186" s="36">
        <f>SUMIFS(GF_Budget_Detail!$F$5:$F$295,GF_Budget_Detail!$A$5:$A$295,$J$157,GF_Budget_Detail!$D$5:$D$295,"Transfers out")</f>
        <v/>
      </c>
      <c r="D186" s="36">
        <f>SUMIFS(GF_Budget_Detail!$G$5:$G$295,GF_Budget_Detail!$A$5:$A$295,$J$157,GF_Budget_Detail!$D$5:$D$295,"Transfers out")</f>
        <v/>
      </c>
      <c r="E186" s="22">
        <f>C186-B186</f>
        <v/>
      </c>
      <c r="F186" s="22">
        <f>(D186-C186)</f>
        <v/>
      </c>
      <c r="G186" s="43">
        <f>(D186-B186)</f>
        <v/>
      </c>
      <c r="H186" s="33">
        <f>IFERROR(F186/ABS(C186),0)</f>
        <v/>
      </c>
      <c r="I186" s="44">
        <f>IF(AND(ABS(F186)&gt;=$L$2,ABS(H186)&gt;=$L$3),"Explain","")</f>
        <v/>
      </c>
      <c r="J186" s="2" t="n"/>
      <c r="K186" s="2" t="n"/>
      <c r="L186" s="2" t="n"/>
    </row>
    <row r="187">
      <c r="A187" s="21" t="inlineStr">
        <is>
          <t>Debt / lease financing proceeds</t>
        </is>
      </c>
      <c r="B187" s="36">
        <f>SUMIFS(GF_Budget_Detail!$E$5:$E$295,GF_Budget_Detail!$A$5:$A$295,$J$157,GF_Budget_Detail!$D$5:$D$295,"Debt / lease financing proceeds")</f>
        <v/>
      </c>
      <c r="C187" s="36">
        <f>SUMIFS(GF_Budget_Detail!$F$5:$F$295,GF_Budget_Detail!$A$5:$A$295,$J$157,GF_Budget_Detail!$D$5:$D$295,"Debt / lease financing proceeds")</f>
        <v/>
      </c>
      <c r="D187" s="36">
        <f>SUMIFS(GF_Budget_Detail!$G$5:$G$295,GF_Budget_Detail!$A$5:$A$295,$J$157,GF_Budget_Detail!$D$5:$D$295,"Debt / lease financing proceeds")</f>
        <v/>
      </c>
      <c r="E187" s="22">
        <f>C187-B187</f>
        <v/>
      </c>
      <c r="F187" s="22">
        <f>(D187-C187)</f>
        <v/>
      </c>
      <c r="G187" s="43">
        <f>(D187-B187)</f>
        <v/>
      </c>
      <c r="H187" s="33">
        <f>IFERROR(F187/ABS(C187),0)</f>
        <v/>
      </c>
      <c r="I187" s="44">
        <f>IF(AND(ABS(F187)&gt;=$L$2,ABS(H187)&gt;=$L$3),"Explain","")</f>
        <v/>
      </c>
      <c r="J187" s="2" t="n"/>
      <c r="K187" s="2" t="n"/>
      <c r="L187" s="2" t="n"/>
    </row>
    <row r="188">
      <c r="A188" s="21" t="inlineStr">
        <is>
          <t>Proceeds from sale of capital assets</t>
        </is>
      </c>
      <c r="B188" s="36">
        <f>SUMIFS(GF_Budget_Detail!$E$5:$E$295,GF_Budget_Detail!$A$5:$A$295,$J$157,GF_Budget_Detail!$D$5:$D$295,"Proceeds from sale of capital assets")</f>
        <v/>
      </c>
      <c r="C188" s="36">
        <f>SUMIFS(GF_Budget_Detail!$F$5:$F$295,GF_Budget_Detail!$A$5:$A$295,$J$157,GF_Budget_Detail!$D$5:$D$295,"Proceeds from sale of capital assets")</f>
        <v/>
      </c>
      <c r="D188" s="36">
        <f>SUMIFS(GF_Budget_Detail!$G$5:$G$295,GF_Budget_Detail!$A$5:$A$295,$J$157,GF_Budget_Detail!$D$5:$D$295,"Proceeds from sale of capital assets")</f>
        <v/>
      </c>
      <c r="E188" s="22">
        <f>C188-B188</f>
        <v/>
      </c>
      <c r="F188" s="22">
        <f>(D188-C188)</f>
        <v/>
      </c>
      <c r="G188" s="43">
        <f>(D188-B188)</f>
        <v/>
      </c>
      <c r="H188" s="33">
        <f>IFERROR(F188/ABS(C188),0)</f>
        <v/>
      </c>
      <c r="I188" s="44">
        <f>IF(AND(ABS(F188)&gt;=$L$2,ABS(H188)&gt;=$L$3),"Explain","")</f>
        <v/>
      </c>
      <c r="J188" s="2" t="n"/>
      <c r="K188" s="2" t="n"/>
      <c r="L188" s="2" t="n"/>
    </row>
    <row r="189">
      <c r="A189" s="21" t="inlineStr">
        <is>
          <t>Special items</t>
        </is>
      </c>
      <c r="B189" s="36">
        <f>SUMIFS(GF_Budget_Detail!$E$5:$E$295,GF_Budget_Detail!$A$5:$A$295,$J$157,GF_Budget_Detail!$D$5:$D$295,"Special items")</f>
        <v/>
      </c>
      <c r="C189" s="36">
        <f>SUMIFS(GF_Budget_Detail!$F$5:$F$295,GF_Budget_Detail!$A$5:$A$295,$J$157,GF_Budget_Detail!$D$5:$D$295,"Special items")</f>
        <v/>
      </c>
      <c r="D189" s="36">
        <f>SUMIFS(GF_Budget_Detail!$G$5:$G$295,GF_Budget_Detail!$A$5:$A$295,$J$157,GF_Budget_Detail!$D$5:$D$295,"Special items")</f>
        <v/>
      </c>
      <c r="E189" s="22">
        <f>C189-B189</f>
        <v/>
      </c>
      <c r="F189" s="22">
        <f>(D189-C189)</f>
        <v/>
      </c>
      <c r="G189" s="43">
        <f>(D189-B189)</f>
        <v/>
      </c>
      <c r="H189" s="33">
        <f>IFERROR(F189/ABS(C189),0)</f>
        <v/>
      </c>
      <c r="I189" s="44">
        <f>IF(AND(ABS(F189)&gt;=$L$2,ABS(H189)&gt;=$L$3),"Explain","")</f>
        <v/>
      </c>
      <c r="J189" s="2" t="n"/>
      <c r="K189" s="2" t="n"/>
      <c r="L189" s="2" t="n"/>
    </row>
    <row r="190">
      <c r="A190" s="12" t="inlineStr">
        <is>
          <t>Total other financing sources (uses) and special items</t>
        </is>
      </c>
      <c r="B190" s="24">
        <f>SUM(B185:B189)</f>
        <v/>
      </c>
      <c r="C190" s="24">
        <f>SUM(C185:C189)</f>
        <v/>
      </c>
      <c r="D190" s="24">
        <f>SUM(D185:D189)</f>
        <v/>
      </c>
      <c r="E190" s="24">
        <f>C190-B190</f>
        <v/>
      </c>
      <c r="F190" s="24">
        <f>(D190-C190)</f>
        <v/>
      </c>
      <c r="G190" s="24">
        <f>(D190-B190)</f>
        <v/>
      </c>
      <c r="H190" s="45">
        <f>IFERROR(F190/ABS(C190),0)</f>
        <v/>
      </c>
      <c r="I190" s="46">
        <f>IF(AND(ABS(F190)&gt;=$L$2,ABS(H190)&gt;=$L$3),"Explain","")</f>
        <v/>
      </c>
      <c r="J190" s="2" t="n"/>
      <c r="K190" s="2" t="n"/>
      <c r="L190" s="2" t="n"/>
    </row>
    <row r="191">
      <c r="A191" s="2" t="n"/>
      <c r="B191" s="2" t="n"/>
      <c r="C191" s="2" t="n"/>
      <c r="D191" s="2" t="n"/>
      <c r="E191" s="2" t="n"/>
      <c r="F191" s="2" t="n"/>
      <c r="G191" s="2" t="n"/>
      <c r="H191" s="2" t="n"/>
      <c r="I191" s="2" t="n"/>
      <c r="J191" s="2" t="n"/>
      <c r="K191" s="2" t="n"/>
      <c r="L191" s="2" t="n"/>
    </row>
    <row r="192">
      <c r="A192" s="12" t="inlineStr">
        <is>
          <t>Net change in fund balance</t>
        </is>
      </c>
      <c r="B192" s="31">
        <f>B168-B183+B190</f>
        <v/>
      </c>
      <c r="C192" s="31">
        <f>C168-C183+C190</f>
        <v/>
      </c>
      <c r="D192" s="31">
        <f>D168-D183+D190</f>
        <v/>
      </c>
      <c r="E192" s="31">
        <f>C192-B192</f>
        <v/>
      </c>
      <c r="F192" s="31">
        <f>D192-C192</f>
        <v/>
      </c>
      <c r="G192" s="31">
        <f>D192-B192</f>
        <v/>
      </c>
      <c r="H192" s="2" t="n"/>
      <c r="I192" s="2" t="n"/>
      <c r="J192" s="2" t="n"/>
      <c r="K192" s="2" t="n"/>
      <c r="L192" s="2" t="n"/>
    </row>
    <row r="193">
      <c r="A193" s="2" t="n"/>
      <c r="B193" s="2" t="n"/>
      <c r="C193" s="2" t="n"/>
      <c r="D193" s="2" t="n"/>
      <c r="E193" s="2" t="n"/>
      <c r="F193" s="2" t="n"/>
      <c r="G193" s="2" t="n"/>
      <c r="H193" s="2" t="n"/>
      <c r="I193" s="2" t="n"/>
      <c r="J193" s="2" t="n"/>
      <c r="K193" s="2" t="n"/>
      <c r="L193" s="2" t="n"/>
    </row>
    <row r="194">
      <c r="A194" s="2" t="n"/>
      <c r="B194" s="2" t="n"/>
      <c r="C194" s="2" t="n"/>
      <c r="D194" s="2" t="n"/>
      <c r="E194" s="2" t="n"/>
      <c r="F194" s="2" t="n"/>
      <c r="G194" s="2" t="n"/>
      <c r="H194" s="2" t="n"/>
      <c r="I194" s="2" t="n"/>
      <c r="J194" s="2" t="n"/>
      <c r="K194" s="2" t="n"/>
      <c r="L194" s="2" t="n"/>
    </row>
    <row r="195">
      <c r="A195" s="16" t="inlineStr">
        <is>
          <t>FY2018-19 (year ended June 30, 2019)  -  Budgetary comparison schedule, General Fund  -  GAAP (modified accrual) budgetary basis</t>
        </is>
      </c>
      <c r="B195" s="39" t="n"/>
      <c r="C195" s="39" t="n"/>
      <c r="D195" s="39" t="n"/>
      <c r="E195" s="39" t="n"/>
      <c r="F195" s="39" t="n"/>
      <c r="G195" s="39" t="n"/>
      <c r="H195" s="39" t="n"/>
      <c r="I195" s="39" t="n"/>
      <c r="J195" s="40" t="n">
        <v>2019</v>
      </c>
      <c r="K195" s="2" t="n"/>
      <c r="L195" s="2" t="n"/>
    </row>
    <row r="196" ht="54" customHeight="1">
      <c r="A196" s="41" t="inlineStr">
        <is>
          <t>Category</t>
        </is>
      </c>
      <c r="B196" s="41" t="inlineStr">
        <is>
          <t>Budgeted amounts - Original</t>
        </is>
      </c>
      <c r="C196" s="41" t="inlineStr">
        <is>
          <t>Budgeted amounts - Final</t>
        </is>
      </c>
      <c r="D196" s="41" t="inlineStr">
        <is>
          <t>Actual amounts (budgetary basis)</t>
        </is>
      </c>
      <c r="E196" s="41" t="inlineStr">
        <is>
          <t>Variance: Original to Final budget, increase (decrease)</t>
        </is>
      </c>
      <c r="F196" s="41" t="inlineStr">
        <is>
          <t>Variance with Final budget, positive (negative)</t>
        </is>
      </c>
      <c r="G196" s="42" t="inlineStr">
        <is>
          <t>Variance with Original budget, positive (negative) [supplementary]</t>
        </is>
      </c>
      <c r="H196" s="41" t="inlineStr">
        <is>
          <t>Variance with Final budget %</t>
        </is>
      </c>
      <c r="I196" s="41" t="inlineStr">
        <is>
          <t>Significant variance? (GASB 103 note candidate)</t>
        </is>
      </c>
      <c r="J196" s="2" t="n"/>
      <c r="K196" s="2" t="n"/>
      <c r="L196" s="2" t="n"/>
    </row>
    <row r="197">
      <c r="A197" s="21" t="inlineStr">
        <is>
          <t>Property taxes</t>
        </is>
      </c>
      <c r="B197" s="36">
        <f>SUMIFS(GF_Budget_Detail!$E$5:$E$295,GF_Budget_Detail!$A$5:$A$295,$J$195,GF_Budget_Detail!$D$5:$D$295,"Property taxes")</f>
        <v/>
      </c>
      <c r="C197" s="36">
        <f>SUMIFS(GF_Budget_Detail!$F$5:$F$295,GF_Budget_Detail!$A$5:$A$295,$J$195,GF_Budget_Detail!$D$5:$D$295,"Property taxes")</f>
        <v/>
      </c>
      <c r="D197" s="36">
        <f>SUMIFS(GF_Budget_Detail!$G$5:$G$295,GF_Budget_Detail!$A$5:$A$295,$J$195,GF_Budget_Detail!$D$5:$D$295,"Property taxes")</f>
        <v/>
      </c>
      <c r="E197" s="22">
        <f>C197-B197</f>
        <v/>
      </c>
      <c r="F197" s="22">
        <f>(D197-C197)</f>
        <v/>
      </c>
      <c r="G197" s="43">
        <f>(D197-B197)</f>
        <v/>
      </c>
      <c r="H197" s="33">
        <f>IFERROR(F197/ABS(C197),0)</f>
        <v/>
      </c>
      <c r="I197" s="44">
        <f>IF(AND(ABS(F197)&gt;=$L$2,ABS(H197)&gt;=$L$3),"Explain","")</f>
        <v/>
      </c>
      <c r="J197" s="2" t="n"/>
      <c r="K197" s="2" t="n"/>
      <c r="L197" s="2" t="n"/>
    </row>
    <row r="198">
      <c r="A198" s="21" t="inlineStr">
        <is>
          <t>Taxes other than property</t>
        </is>
      </c>
      <c r="B198" s="36">
        <f>SUMIFS(GF_Budget_Detail!$E$5:$E$295,GF_Budget_Detail!$A$5:$A$295,$J$195,GF_Budget_Detail!$D$5:$D$295,"Taxes other than property")</f>
        <v/>
      </c>
      <c r="C198" s="36">
        <f>SUMIFS(GF_Budget_Detail!$F$5:$F$295,GF_Budget_Detail!$A$5:$A$295,$J$195,GF_Budget_Detail!$D$5:$D$295,"Taxes other than property")</f>
        <v/>
      </c>
      <c r="D198" s="36">
        <f>SUMIFS(GF_Budget_Detail!$G$5:$G$295,GF_Budget_Detail!$A$5:$A$295,$J$195,GF_Budget_Detail!$D$5:$D$295,"Taxes other than property")</f>
        <v/>
      </c>
      <c r="E198" s="22">
        <f>C198-B198</f>
        <v/>
      </c>
      <c r="F198" s="22">
        <f>(D198-C198)</f>
        <v/>
      </c>
      <c r="G198" s="43">
        <f>(D198-B198)</f>
        <v/>
      </c>
      <c r="H198" s="33">
        <f>IFERROR(F198/ABS(C198),0)</f>
        <v/>
      </c>
      <c r="I198" s="44">
        <f>IF(AND(ABS(F198)&gt;=$L$2,ABS(H198)&gt;=$L$3),"Explain","")</f>
        <v/>
      </c>
      <c r="J198" s="2" t="n"/>
      <c r="K198" s="2" t="n"/>
      <c r="L198" s="2" t="n"/>
    </row>
    <row r="199">
      <c r="A199" s="21" t="inlineStr">
        <is>
          <t>Taxes and assessments (combined)</t>
        </is>
      </c>
      <c r="B199" s="36">
        <f>SUMIFS(GF_Budget_Detail!$E$5:$E$295,GF_Budget_Detail!$A$5:$A$295,$J$195,GF_Budget_Detail!$D$5:$D$295,"Taxes and assessments (combined)")</f>
        <v/>
      </c>
      <c r="C199" s="36">
        <f>SUMIFS(GF_Budget_Detail!$F$5:$F$295,GF_Budget_Detail!$A$5:$A$295,$J$195,GF_Budget_Detail!$D$5:$D$295,"Taxes and assessments (combined)")</f>
        <v/>
      </c>
      <c r="D199" s="36">
        <f>SUMIFS(GF_Budget_Detail!$G$5:$G$295,GF_Budget_Detail!$A$5:$A$295,$J$195,GF_Budget_Detail!$D$5:$D$295,"Taxes and assessments (combined)")</f>
        <v/>
      </c>
      <c r="E199" s="22">
        <f>C199-B199</f>
        <v/>
      </c>
      <c r="F199" s="22">
        <f>(D199-C199)</f>
        <v/>
      </c>
      <c r="G199" s="43">
        <f>(D199-B199)</f>
        <v/>
      </c>
      <c r="H199" s="33">
        <f>IFERROR(F199/ABS(C199),0)</f>
        <v/>
      </c>
      <c r="I199" s="44">
        <f>IF(AND(ABS(F199)&gt;=$L$2,ABS(H199)&gt;=$L$3),"Explain","")</f>
        <v/>
      </c>
      <c r="J199" s="2" t="n"/>
      <c r="K199" s="2" t="n"/>
      <c r="L199" s="2" t="n"/>
    </row>
    <row r="200">
      <c r="A200" s="21" t="inlineStr">
        <is>
          <t>Licenses and permits</t>
        </is>
      </c>
      <c r="B200" s="36">
        <f>SUMIFS(GF_Budget_Detail!$E$5:$E$295,GF_Budget_Detail!$A$5:$A$295,$J$195,GF_Budget_Detail!$D$5:$D$295,"Licenses and permits")</f>
        <v/>
      </c>
      <c r="C200" s="36">
        <f>SUMIFS(GF_Budget_Detail!$F$5:$F$295,GF_Budget_Detail!$A$5:$A$295,$J$195,GF_Budget_Detail!$D$5:$D$295,"Licenses and permits")</f>
        <v/>
      </c>
      <c r="D200" s="36">
        <f>SUMIFS(GF_Budget_Detail!$G$5:$G$295,GF_Budget_Detail!$A$5:$A$295,$J$195,GF_Budget_Detail!$D$5:$D$295,"Licenses and permits")</f>
        <v/>
      </c>
      <c r="E200" s="22">
        <f>C200-B200</f>
        <v/>
      </c>
      <c r="F200" s="22">
        <f>(D200-C200)</f>
        <v/>
      </c>
      <c r="G200" s="43">
        <f>(D200-B200)</f>
        <v/>
      </c>
      <c r="H200" s="33">
        <f>IFERROR(F200/ABS(C200),0)</f>
        <v/>
      </c>
      <c r="I200" s="44">
        <f>IF(AND(ABS(F200)&gt;=$L$2,ABS(H200)&gt;=$L$3),"Explain","")</f>
        <v/>
      </c>
      <c r="J200" s="2" t="n"/>
      <c r="K200" s="2" t="n"/>
      <c r="L200" s="2" t="n"/>
    </row>
    <row r="201">
      <c r="A201" s="21" t="inlineStr">
        <is>
          <t>Fines and forfeitures</t>
        </is>
      </c>
      <c r="B201" s="36">
        <f>SUMIFS(GF_Budget_Detail!$E$5:$E$295,GF_Budget_Detail!$A$5:$A$295,$J$195,GF_Budget_Detail!$D$5:$D$295,"Fines and forfeitures")</f>
        <v/>
      </c>
      <c r="C201" s="36">
        <f>SUMIFS(GF_Budget_Detail!$F$5:$F$295,GF_Budget_Detail!$A$5:$A$295,$J$195,GF_Budget_Detail!$D$5:$D$295,"Fines and forfeitures")</f>
        <v/>
      </c>
      <c r="D201" s="36">
        <f>SUMIFS(GF_Budget_Detail!$G$5:$G$295,GF_Budget_Detail!$A$5:$A$295,$J$195,GF_Budget_Detail!$D$5:$D$295,"Fines and forfeitures")</f>
        <v/>
      </c>
      <c r="E201" s="22">
        <f>C201-B201</f>
        <v/>
      </c>
      <c r="F201" s="22">
        <f>(D201-C201)</f>
        <v/>
      </c>
      <c r="G201" s="43">
        <f>(D201-B201)</f>
        <v/>
      </c>
      <c r="H201" s="33">
        <f>IFERROR(F201/ABS(C201),0)</f>
        <v/>
      </c>
      <c r="I201" s="44">
        <f>IF(AND(ABS(F201)&gt;=$L$2,ABS(H201)&gt;=$L$3),"Explain","")</f>
        <v/>
      </c>
      <c r="J201" s="2" t="n"/>
      <c r="K201" s="2" t="n"/>
      <c r="L201" s="2" t="n"/>
    </row>
    <row r="202">
      <c r="A202" s="21" t="inlineStr">
        <is>
          <t>Use of money and property</t>
        </is>
      </c>
      <c r="B202" s="36">
        <f>SUMIFS(GF_Budget_Detail!$E$5:$E$295,GF_Budget_Detail!$A$5:$A$295,$J$195,GF_Budget_Detail!$D$5:$D$295,"Use of money and property")</f>
        <v/>
      </c>
      <c r="C202" s="36">
        <f>SUMIFS(GF_Budget_Detail!$F$5:$F$295,GF_Budget_Detail!$A$5:$A$295,$J$195,GF_Budget_Detail!$D$5:$D$295,"Use of money and property")</f>
        <v/>
      </c>
      <c r="D202" s="36">
        <f>SUMIFS(GF_Budget_Detail!$G$5:$G$295,GF_Budget_Detail!$A$5:$A$295,$J$195,GF_Budget_Detail!$D$5:$D$295,"Use of money and property")</f>
        <v/>
      </c>
      <c r="E202" s="22">
        <f>C202-B202</f>
        <v/>
      </c>
      <c r="F202" s="22">
        <f>(D202-C202)</f>
        <v/>
      </c>
      <c r="G202" s="43">
        <f>(D202-B202)</f>
        <v/>
      </c>
      <c r="H202" s="33">
        <f>IFERROR(F202/ABS(C202),0)</f>
        <v/>
      </c>
      <c r="I202" s="44">
        <f>IF(AND(ABS(F202)&gt;=$L$2,ABS(H202)&gt;=$L$3),"Explain","")</f>
        <v/>
      </c>
      <c r="J202" s="2" t="n"/>
      <c r="K202" s="2" t="n"/>
      <c r="L202" s="2" t="n"/>
    </row>
    <row r="203">
      <c r="A203" s="21" t="inlineStr">
        <is>
          <t>Intergovernmental</t>
        </is>
      </c>
      <c r="B203" s="36">
        <f>SUMIFS(GF_Budget_Detail!$E$5:$E$295,GF_Budget_Detail!$A$5:$A$295,$J$195,GF_Budget_Detail!$D$5:$D$295,"Intergovernmental")</f>
        <v/>
      </c>
      <c r="C203" s="36">
        <f>SUMIFS(GF_Budget_Detail!$F$5:$F$295,GF_Budget_Detail!$A$5:$A$295,$J$195,GF_Budget_Detail!$D$5:$D$295,"Intergovernmental")</f>
        <v/>
      </c>
      <c r="D203" s="36">
        <f>SUMIFS(GF_Budget_Detail!$G$5:$G$295,GF_Budget_Detail!$A$5:$A$295,$J$195,GF_Budget_Detail!$D$5:$D$295,"Intergovernmental")</f>
        <v/>
      </c>
      <c r="E203" s="22">
        <f>C203-B203</f>
        <v/>
      </c>
      <c r="F203" s="22">
        <f>(D203-C203)</f>
        <v/>
      </c>
      <c r="G203" s="43">
        <f>(D203-B203)</f>
        <v/>
      </c>
      <c r="H203" s="33">
        <f>IFERROR(F203/ABS(C203),0)</f>
        <v/>
      </c>
      <c r="I203" s="44">
        <f>IF(AND(ABS(F203)&gt;=$L$2,ABS(H203)&gt;=$L$3),"Explain","")</f>
        <v/>
      </c>
      <c r="J203" s="2" t="n"/>
      <c r="K203" s="2" t="n"/>
      <c r="L203" s="2" t="n"/>
    </row>
    <row r="204">
      <c r="A204" s="21" t="inlineStr">
        <is>
          <t>Charges for services</t>
        </is>
      </c>
      <c r="B204" s="36">
        <f>SUMIFS(GF_Budget_Detail!$E$5:$E$295,GF_Budget_Detail!$A$5:$A$295,$J$195,GF_Budget_Detail!$D$5:$D$295,"Charges for services")</f>
        <v/>
      </c>
      <c r="C204" s="36">
        <f>SUMIFS(GF_Budget_Detail!$F$5:$F$295,GF_Budget_Detail!$A$5:$A$295,$J$195,GF_Budget_Detail!$D$5:$D$295,"Charges for services")</f>
        <v/>
      </c>
      <c r="D204" s="36">
        <f>SUMIFS(GF_Budget_Detail!$G$5:$G$295,GF_Budget_Detail!$A$5:$A$295,$J$195,GF_Budget_Detail!$D$5:$D$295,"Charges for services")</f>
        <v/>
      </c>
      <c r="E204" s="22">
        <f>C204-B204</f>
        <v/>
      </c>
      <c r="F204" s="22">
        <f>(D204-C204)</f>
        <v/>
      </c>
      <c r="G204" s="43">
        <f>(D204-B204)</f>
        <v/>
      </c>
      <c r="H204" s="33">
        <f>IFERROR(F204/ABS(C204),0)</f>
        <v/>
      </c>
      <c r="I204" s="44">
        <f>IF(AND(ABS(F204)&gt;=$L$2,ABS(H204)&gt;=$L$3),"Explain","")</f>
        <v/>
      </c>
      <c r="J204" s="2" t="n"/>
      <c r="K204" s="2" t="n"/>
      <c r="L204" s="2" t="n"/>
    </row>
    <row r="205">
      <c r="A205" s="21" t="inlineStr">
        <is>
          <t>Other revenues</t>
        </is>
      </c>
      <c r="B205" s="36">
        <f>SUMIFS(GF_Budget_Detail!$E$5:$E$295,GF_Budget_Detail!$A$5:$A$295,$J$195,GF_Budget_Detail!$D$5:$D$295,"Other revenues")</f>
        <v/>
      </c>
      <c r="C205" s="36">
        <f>SUMIFS(GF_Budget_Detail!$F$5:$F$295,GF_Budget_Detail!$A$5:$A$295,$J$195,GF_Budget_Detail!$D$5:$D$295,"Other revenues")</f>
        <v/>
      </c>
      <c r="D205" s="36">
        <f>SUMIFS(GF_Budget_Detail!$G$5:$G$295,GF_Budget_Detail!$A$5:$A$295,$J$195,GF_Budget_Detail!$D$5:$D$295,"Other revenues")</f>
        <v/>
      </c>
      <c r="E205" s="22">
        <f>C205-B205</f>
        <v/>
      </c>
      <c r="F205" s="22">
        <f>(D205-C205)</f>
        <v/>
      </c>
      <c r="G205" s="43">
        <f>(D205-B205)</f>
        <v/>
      </c>
      <c r="H205" s="33">
        <f>IFERROR(F205/ABS(C205),0)</f>
        <v/>
      </c>
      <c r="I205" s="44">
        <f>IF(AND(ABS(F205)&gt;=$L$2,ABS(H205)&gt;=$L$3),"Explain","")</f>
        <v/>
      </c>
      <c r="J205" s="2" t="n"/>
      <c r="K205" s="2" t="n"/>
      <c r="L205" s="2" t="n"/>
    </row>
    <row r="206">
      <c r="A206" s="12" t="inlineStr">
        <is>
          <t>Total revenues</t>
        </is>
      </c>
      <c r="B206" s="24">
        <f>SUM(B197:B205)</f>
        <v/>
      </c>
      <c r="C206" s="24">
        <f>SUM(C197:C205)</f>
        <v/>
      </c>
      <c r="D206" s="24">
        <f>SUM(D197:D205)</f>
        <v/>
      </c>
      <c r="E206" s="24">
        <f>C206-B206</f>
        <v/>
      </c>
      <c r="F206" s="24">
        <f>(D206-C206)</f>
        <v/>
      </c>
      <c r="G206" s="24">
        <f>(D206-B206)</f>
        <v/>
      </c>
      <c r="H206" s="45">
        <f>IFERROR(F206/ABS(C206),0)</f>
        <v/>
      </c>
      <c r="I206" s="46">
        <f>IF(AND(ABS(F206)&gt;=$L$2,ABS(H206)&gt;=$L$3),"Explain","")</f>
        <v/>
      </c>
      <c r="J206" s="2" t="n"/>
      <c r="K206" s="2" t="n"/>
      <c r="L206" s="2" t="n"/>
    </row>
    <row r="207">
      <c r="A207" s="2" t="n"/>
      <c r="B207" s="2" t="n"/>
      <c r="C207" s="2" t="n"/>
      <c r="D207" s="2" t="n"/>
      <c r="E207" s="2" t="n"/>
      <c r="F207" s="2" t="n"/>
      <c r="G207" s="2" t="n"/>
      <c r="H207" s="2" t="n"/>
      <c r="I207" s="2" t="n"/>
      <c r="J207" s="2" t="n"/>
      <c r="K207" s="2" t="n"/>
      <c r="L207" s="2" t="n"/>
    </row>
    <row r="208">
      <c r="A208" s="21" t="inlineStr">
        <is>
          <t>General government</t>
        </is>
      </c>
      <c r="B208" s="36">
        <f>SUMIFS(GF_Budget_Detail!$E$5:$E$295,GF_Budget_Detail!$A$5:$A$295,$J$195,GF_Budget_Detail!$D$5:$D$295,"General government")</f>
        <v/>
      </c>
      <c r="C208" s="36">
        <f>SUMIFS(GF_Budget_Detail!$F$5:$F$295,GF_Budget_Detail!$A$5:$A$295,$J$195,GF_Budget_Detail!$D$5:$D$295,"General government")</f>
        <v/>
      </c>
      <c r="D208" s="36">
        <f>SUMIFS(GF_Budget_Detail!$G$5:$G$295,GF_Budget_Detail!$A$5:$A$295,$J$195,GF_Budget_Detail!$D$5:$D$295,"General government")</f>
        <v/>
      </c>
      <c r="E208" s="22">
        <f>C208-B208</f>
        <v/>
      </c>
      <c r="F208" s="22">
        <f>-(D208-C208)</f>
        <v/>
      </c>
      <c r="G208" s="43">
        <f>-(D208-B208)</f>
        <v/>
      </c>
      <c r="H208" s="33">
        <f>IFERROR(F208/ABS(C208),0)</f>
        <v/>
      </c>
      <c r="I208" s="44">
        <f>IF(AND(ABS(F208)&gt;=$L$2,ABS(H208)&gt;=$L$3),"Explain","")</f>
        <v/>
      </c>
      <c r="J208" s="2" t="n"/>
      <c r="K208" s="2" t="n"/>
      <c r="L208" s="2" t="n"/>
    </row>
    <row r="209">
      <c r="A209" s="21" t="inlineStr">
        <is>
          <t>Public works</t>
        </is>
      </c>
      <c r="B209" s="36">
        <f>SUMIFS(GF_Budget_Detail!$E$5:$E$295,GF_Budget_Detail!$A$5:$A$295,$J$195,GF_Budget_Detail!$D$5:$D$295,"Public works")</f>
        <v/>
      </c>
      <c r="C209" s="36">
        <f>SUMIFS(GF_Budget_Detail!$F$5:$F$295,GF_Budget_Detail!$A$5:$A$295,$J$195,GF_Budget_Detail!$D$5:$D$295,"Public works")</f>
        <v/>
      </c>
      <c r="D209" s="36">
        <f>SUMIFS(GF_Budget_Detail!$G$5:$G$295,GF_Budget_Detail!$A$5:$A$295,$J$195,GF_Budget_Detail!$D$5:$D$295,"Public works")</f>
        <v/>
      </c>
      <c r="E209" s="22">
        <f>C209-B209</f>
        <v/>
      </c>
      <c r="F209" s="22">
        <f>-(D209-C209)</f>
        <v/>
      </c>
      <c r="G209" s="43">
        <f>-(D209-B209)</f>
        <v/>
      </c>
      <c r="H209" s="33">
        <f>IFERROR(F209/ABS(C209),0)</f>
        <v/>
      </c>
      <c r="I209" s="44">
        <f>IF(AND(ABS(F209)&gt;=$L$2,ABS(H209)&gt;=$L$3),"Explain","")</f>
        <v/>
      </c>
      <c r="J209" s="2" t="n"/>
      <c r="K209" s="2" t="n"/>
      <c r="L209" s="2" t="n"/>
    </row>
    <row r="210">
      <c r="A210" s="21" t="inlineStr">
        <is>
          <t>Recreation</t>
        </is>
      </c>
      <c r="B210" s="36">
        <f>SUMIFS(GF_Budget_Detail!$E$5:$E$295,GF_Budget_Detail!$A$5:$A$295,$J$195,GF_Budget_Detail!$D$5:$D$295,"Recreation")</f>
        <v/>
      </c>
      <c r="C210" s="36">
        <f>SUMIFS(GF_Budget_Detail!$F$5:$F$295,GF_Budget_Detail!$A$5:$A$295,$J$195,GF_Budget_Detail!$D$5:$D$295,"Recreation")</f>
        <v/>
      </c>
      <c r="D210" s="36">
        <f>SUMIFS(GF_Budget_Detail!$G$5:$G$295,GF_Budget_Detail!$A$5:$A$295,$J$195,GF_Budget_Detail!$D$5:$D$295,"Recreation")</f>
        <v/>
      </c>
      <c r="E210" s="22">
        <f>C210-B210</f>
        <v/>
      </c>
      <c r="F210" s="22">
        <f>-(D210-C210)</f>
        <v/>
      </c>
      <c r="G210" s="43">
        <f>-(D210-B210)</f>
        <v/>
      </c>
      <c r="H210" s="33">
        <f>IFERROR(F210/ABS(C210),0)</f>
        <v/>
      </c>
      <c r="I210" s="44">
        <f>IF(AND(ABS(F210)&gt;=$L$2,ABS(H210)&gt;=$L$3),"Explain","")</f>
        <v/>
      </c>
      <c r="J210" s="2" t="n"/>
      <c r="K210" s="2" t="n"/>
      <c r="L210" s="2" t="n"/>
    </row>
    <row r="211">
      <c r="A211" s="21" t="inlineStr">
        <is>
          <t>Community development</t>
        </is>
      </c>
      <c r="B211" s="36">
        <f>SUMIFS(GF_Budget_Detail!$E$5:$E$295,GF_Budget_Detail!$A$5:$A$295,$J$195,GF_Budget_Detail!$D$5:$D$295,"Community development")</f>
        <v/>
      </c>
      <c r="C211" s="36">
        <f>SUMIFS(GF_Budget_Detail!$F$5:$F$295,GF_Budget_Detail!$A$5:$A$295,$J$195,GF_Budget_Detail!$D$5:$D$295,"Community development")</f>
        <v/>
      </c>
      <c r="D211" s="36">
        <f>SUMIFS(GF_Budget_Detail!$G$5:$G$295,GF_Budget_Detail!$A$5:$A$295,$J$195,GF_Budget_Detail!$D$5:$D$295,"Community development")</f>
        <v/>
      </c>
      <c r="E211" s="22">
        <f>C211-B211</f>
        <v/>
      </c>
      <c r="F211" s="22">
        <f>-(D211-C211)</f>
        <v/>
      </c>
      <c r="G211" s="43">
        <f>-(D211-B211)</f>
        <v/>
      </c>
      <c r="H211" s="33">
        <f>IFERROR(F211/ABS(C211),0)</f>
        <v/>
      </c>
      <c r="I211" s="44">
        <f>IF(AND(ABS(F211)&gt;=$L$2,ABS(H211)&gt;=$L$3),"Explain","")</f>
        <v/>
      </c>
      <c r="J211" s="2" t="n"/>
      <c r="K211" s="2" t="n"/>
      <c r="L211" s="2" t="n"/>
    </row>
    <row r="212">
      <c r="A212" s="21" t="inlineStr">
        <is>
          <t>Public safety - Police</t>
        </is>
      </c>
      <c r="B212" s="36">
        <f>SUMIFS(GF_Budget_Detail!$E$5:$E$295,GF_Budget_Detail!$A$5:$A$295,$J$195,GF_Budget_Detail!$D$5:$D$295,"Public safety - Police")</f>
        <v/>
      </c>
      <c r="C212" s="36">
        <f>SUMIFS(GF_Budget_Detail!$F$5:$F$295,GF_Budget_Detail!$A$5:$A$295,$J$195,GF_Budget_Detail!$D$5:$D$295,"Public safety - Police")</f>
        <v/>
      </c>
      <c r="D212" s="36">
        <f>SUMIFS(GF_Budget_Detail!$G$5:$G$295,GF_Budget_Detail!$A$5:$A$295,$J$195,GF_Budget_Detail!$D$5:$D$295,"Public safety - Police")</f>
        <v/>
      </c>
      <c r="E212" s="22">
        <f>C212-B212</f>
        <v/>
      </c>
      <c r="F212" s="22">
        <f>-(D212-C212)</f>
        <v/>
      </c>
      <c r="G212" s="43">
        <f>-(D212-B212)</f>
        <v/>
      </c>
      <c r="H212" s="33">
        <f>IFERROR(F212/ABS(C212),0)</f>
        <v/>
      </c>
      <c r="I212" s="44">
        <f>IF(AND(ABS(F212)&gt;=$L$2,ABS(H212)&gt;=$L$3),"Explain","")</f>
        <v/>
      </c>
      <c r="J212" s="2" t="n"/>
      <c r="K212" s="2" t="n"/>
      <c r="L212" s="2" t="n"/>
    </row>
    <row r="213">
      <c r="A213" s="21" t="inlineStr">
        <is>
          <t>Public safety - Fire</t>
        </is>
      </c>
      <c r="B213" s="36">
        <f>SUMIFS(GF_Budget_Detail!$E$5:$E$295,GF_Budget_Detail!$A$5:$A$295,$J$195,GF_Budget_Detail!$D$5:$D$295,"Public safety - Fire")</f>
        <v/>
      </c>
      <c r="C213" s="36">
        <f>SUMIFS(GF_Budget_Detail!$F$5:$F$295,GF_Budget_Detail!$A$5:$A$295,$J$195,GF_Budget_Detail!$D$5:$D$295,"Public safety - Fire")</f>
        <v/>
      </c>
      <c r="D213" s="36">
        <f>SUMIFS(GF_Budget_Detail!$G$5:$G$295,GF_Budget_Detail!$A$5:$A$295,$J$195,GF_Budget_Detail!$D$5:$D$295,"Public safety - Fire")</f>
        <v/>
      </c>
      <c r="E213" s="22">
        <f>C213-B213</f>
        <v/>
      </c>
      <c r="F213" s="22">
        <f>-(D213-C213)</f>
        <v/>
      </c>
      <c r="G213" s="43">
        <f>-(D213-B213)</f>
        <v/>
      </c>
      <c r="H213" s="33">
        <f>IFERROR(F213/ABS(C213),0)</f>
        <v/>
      </c>
      <c r="I213" s="44">
        <f>IF(AND(ABS(F213)&gt;=$L$2,ABS(H213)&gt;=$L$3),"Explain","")</f>
        <v/>
      </c>
      <c r="J213" s="2" t="n"/>
      <c r="K213" s="2" t="n"/>
      <c r="L213" s="2" t="n"/>
    </row>
    <row r="214">
      <c r="A214" s="21" t="inlineStr">
        <is>
          <t>Public safety (combined)</t>
        </is>
      </c>
      <c r="B214" s="36">
        <f>SUMIFS(GF_Budget_Detail!$E$5:$E$295,GF_Budget_Detail!$A$5:$A$295,$J$195,GF_Budget_Detail!$D$5:$D$295,"Public safety (combined)")</f>
        <v/>
      </c>
      <c r="C214" s="36">
        <f>SUMIFS(GF_Budget_Detail!$F$5:$F$295,GF_Budget_Detail!$A$5:$A$295,$J$195,GF_Budget_Detail!$D$5:$D$295,"Public safety (combined)")</f>
        <v/>
      </c>
      <c r="D214" s="36">
        <f>SUMIFS(GF_Budget_Detail!$G$5:$G$295,GF_Budget_Detail!$A$5:$A$295,$J$195,GF_Budget_Detail!$D$5:$D$295,"Public safety (combined)")</f>
        <v/>
      </c>
      <c r="E214" s="22">
        <f>C214-B214</f>
        <v/>
      </c>
      <c r="F214" s="22">
        <f>-(D214-C214)</f>
        <v/>
      </c>
      <c r="G214" s="43">
        <f>-(D214-B214)</f>
        <v/>
      </c>
      <c r="H214" s="33">
        <f>IFERROR(F214/ABS(C214),0)</f>
        <v/>
      </c>
      <c r="I214" s="44">
        <f>IF(AND(ABS(F214)&gt;=$L$2,ABS(H214)&gt;=$L$3),"Explain","")</f>
        <v/>
      </c>
      <c r="J214" s="2" t="n"/>
      <c r="K214" s="2" t="n"/>
      <c r="L214" s="2" t="n"/>
    </row>
    <row r="215">
      <c r="A215" s="21" t="inlineStr">
        <is>
          <t>Payment of sales tax to City of Richmond</t>
        </is>
      </c>
      <c r="B215" s="36">
        <f>SUMIFS(GF_Budget_Detail!$E$5:$E$295,GF_Budget_Detail!$A$5:$A$295,$J$195,GF_Budget_Detail!$D$5:$D$295,"Payment of sales tax to City of Richmond")</f>
        <v/>
      </c>
      <c r="C215" s="36">
        <f>SUMIFS(GF_Budget_Detail!$F$5:$F$295,GF_Budget_Detail!$A$5:$A$295,$J$195,GF_Budget_Detail!$D$5:$D$295,"Payment of sales tax to City of Richmond")</f>
        <v/>
      </c>
      <c r="D215" s="36">
        <f>SUMIFS(GF_Budget_Detail!$G$5:$G$295,GF_Budget_Detail!$A$5:$A$295,$J$195,GF_Budget_Detail!$D$5:$D$295,"Payment of sales tax to City of Richmond")</f>
        <v/>
      </c>
      <c r="E215" s="22">
        <f>C215-B215</f>
        <v/>
      </c>
      <c r="F215" s="22">
        <f>-(D215-C215)</f>
        <v/>
      </c>
      <c r="G215" s="43">
        <f>-(D215-B215)</f>
        <v/>
      </c>
      <c r="H215" s="33">
        <f>IFERROR(F215/ABS(C215),0)</f>
        <v/>
      </c>
      <c r="I215" s="44">
        <f>IF(AND(ABS(F215)&gt;=$L$2,ABS(H215)&gt;=$L$3),"Explain","")</f>
        <v/>
      </c>
      <c r="J215" s="2" t="n"/>
      <c r="K215" s="2" t="n"/>
      <c r="L215" s="2" t="n"/>
    </row>
    <row r="216">
      <c r="A216" s="21" t="inlineStr">
        <is>
          <t>Capital outlay</t>
        </is>
      </c>
      <c r="B216" s="36">
        <f>SUMIFS(GF_Budget_Detail!$E$5:$E$295,GF_Budget_Detail!$A$5:$A$295,$J$195,GF_Budget_Detail!$D$5:$D$295,"Capital outlay")</f>
        <v/>
      </c>
      <c r="C216" s="36">
        <f>SUMIFS(GF_Budget_Detail!$F$5:$F$295,GF_Budget_Detail!$A$5:$A$295,$J$195,GF_Budget_Detail!$D$5:$D$295,"Capital outlay")</f>
        <v/>
      </c>
      <c r="D216" s="36">
        <f>SUMIFS(GF_Budget_Detail!$G$5:$G$295,GF_Budget_Detail!$A$5:$A$295,$J$195,GF_Budget_Detail!$D$5:$D$295,"Capital outlay")</f>
        <v/>
      </c>
      <c r="E216" s="22">
        <f>C216-B216</f>
        <v/>
      </c>
      <c r="F216" s="22">
        <f>-(D216-C216)</f>
        <v/>
      </c>
      <c r="G216" s="43">
        <f>-(D216-B216)</f>
        <v/>
      </c>
      <c r="H216" s="33">
        <f>IFERROR(F216/ABS(C216),0)</f>
        <v/>
      </c>
      <c r="I216" s="44">
        <f>IF(AND(ABS(F216)&gt;=$L$2,ABS(H216)&gt;=$L$3),"Explain","")</f>
        <v/>
      </c>
      <c r="J216" s="2" t="n"/>
      <c r="K216" s="2" t="n"/>
      <c r="L216" s="2" t="n"/>
    </row>
    <row r="217">
      <c r="A217" s="21" t="inlineStr">
        <is>
          <t>Debt service - principal</t>
        </is>
      </c>
      <c r="B217" s="36">
        <f>SUMIFS(GF_Budget_Detail!$E$5:$E$295,GF_Budget_Detail!$A$5:$A$295,$J$195,GF_Budget_Detail!$D$5:$D$295,"Debt service - principal")</f>
        <v/>
      </c>
      <c r="C217" s="36">
        <f>SUMIFS(GF_Budget_Detail!$F$5:$F$295,GF_Budget_Detail!$A$5:$A$295,$J$195,GF_Budget_Detail!$D$5:$D$295,"Debt service - principal")</f>
        <v/>
      </c>
      <c r="D217" s="36">
        <f>SUMIFS(GF_Budget_Detail!$G$5:$G$295,GF_Budget_Detail!$A$5:$A$295,$J$195,GF_Budget_Detail!$D$5:$D$295,"Debt service - principal")</f>
        <v/>
      </c>
      <c r="E217" s="22">
        <f>C217-B217</f>
        <v/>
      </c>
      <c r="F217" s="22">
        <f>-(D217-C217)</f>
        <v/>
      </c>
      <c r="G217" s="43">
        <f>-(D217-B217)</f>
        <v/>
      </c>
      <c r="H217" s="33">
        <f>IFERROR(F217/ABS(C217),0)</f>
        <v/>
      </c>
      <c r="I217" s="44">
        <f>IF(AND(ABS(F217)&gt;=$L$2,ABS(H217)&gt;=$L$3),"Explain","")</f>
        <v/>
      </c>
      <c r="J217" s="2" t="n"/>
      <c r="K217" s="2" t="n"/>
      <c r="L217" s="2" t="n"/>
    </row>
    <row r="218">
      <c r="A218" s="21" t="inlineStr">
        <is>
          <t>Debt service - interest</t>
        </is>
      </c>
      <c r="B218" s="36">
        <f>SUMIFS(GF_Budget_Detail!$E$5:$E$295,GF_Budget_Detail!$A$5:$A$295,$J$195,GF_Budget_Detail!$D$5:$D$295,"Debt service - interest")</f>
        <v/>
      </c>
      <c r="C218" s="36">
        <f>SUMIFS(GF_Budget_Detail!$F$5:$F$295,GF_Budget_Detail!$A$5:$A$295,$J$195,GF_Budget_Detail!$D$5:$D$295,"Debt service - interest")</f>
        <v/>
      </c>
      <c r="D218" s="36">
        <f>SUMIFS(GF_Budget_Detail!$G$5:$G$295,GF_Budget_Detail!$A$5:$A$295,$J$195,GF_Budget_Detail!$D$5:$D$295,"Debt service - interest")</f>
        <v/>
      </c>
      <c r="E218" s="22">
        <f>C218-B218</f>
        <v/>
      </c>
      <c r="F218" s="22">
        <f>-(D218-C218)</f>
        <v/>
      </c>
      <c r="G218" s="43">
        <f>-(D218-B218)</f>
        <v/>
      </c>
      <c r="H218" s="33">
        <f>IFERROR(F218/ABS(C218),0)</f>
        <v/>
      </c>
      <c r="I218" s="44">
        <f>IF(AND(ABS(F218)&gt;=$L$2,ABS(H218)&gt;=$L$3),"Explain","")</f>
        <v/>
      </c>
      <c r="J218" s="2" t="n"/>
      <c r="K218" s="2" t="n"/>
      <c r="L218" s="2" t="n"/>
    </row>
    <row r="219">
      <c r="A219" s="21" t="inlineStr">
        <is>
          <t>Non-departmental (budget-report basis)</t>
        </is>
      </c>
      <c r="B219" s="36">
        <f>SUMIFS(GF_Budget_Detail!$E$5:$E$295,GF_Budget_Detail!$A$5:$A$295,$J$195,GF_Budget_Detail!$D$5:$D$295,"Non-departmental (budget-report basis)")</f>
        <v/>
      </c>
      <c r="C219" s="36">
        <f>SUMIFS(GF_Budget_Detail!$F$5:$F$295,GF_Budget_Detail!$A$5:$A$295,$J$195,GF_Budget_Detail!$D$5:$D$295,"Non-departmental (budget-report basis)")</f>
        <v/>
      </c>
      <c r="D219" s="36">
        <f>SUMIFS(GF_Budget_Detail!$G$5:$G$295,GF_Budget_Detail!$A$5:$A$295,$J$195,GF_Budget_Detail!$D$5:$D$295,"Non-departmental (budget-report basis)")</f>
        <v/>
      </c>
      <c r="E219" s="22">
        <f>C219-B219</f>
        <v/>
      </c>
      <c r="F219" s="22">
        <f>-(D219-C219)</f>
        <v/>
      </c>
      <c r="G219" s="43">
        <f>-(D219-B219)</f>
        <v/>
      </c>
      <c r="H219" s="33">
        <f>IFERROR(F219/ABS(C219),0)</f>
        <v/>
      </c>
      <c r="I219" s="44">
        <f>IF(AND(ABS(F219)&gt;=$L$2,ABS(H219)&gt;=$L$3),"Explain","")</f>
        <v/>
      </c>
      <c r="J219" s="2" t="n"/>
      <c r="K219" s="2" t="n"/>
      <c r="L219" s="2" t="n"/>
    </row>
    <row r="220">
      <c r="A220" s="21" t="inlineStr">
        <is>
          <t>Original budget not itemized by department</t>
        </is>
      </c>
      <c r="B220" s="36">
        <f>SUMIFS(GF_Budget_Detail!$E$5:$E$295,GF_Budget_Detail!$A$5:$A$295,$J$195,GF_Budget_Detail!$D$5:$D$295,"Original budget not itemized by department")</f>
        <v/>
      </c>
      <c r="C220" s="36">
        <f>SUMIFS(GF_Budget_Detail!$F$5:$F$295,GF_Budget_Detail!$A$5:$A$295,$J$195,GF_Budget_Detail!$D$5:$D$295,"Original budget not itemized by department")</f>
        <v/>
      </c>
      <c r="D220" s="36">
        <f>SUMIFS(GF_Budget_Detail!$G$5:$G$295,GF_Budget_Detail!$A$5:$A$295,$J$195,GF_Budget_Detail!$D$5:$D$295,"Original budget not itemized by department")</f>
        <v/>
      </c>
      <c r="E220" s="22">
        <f>C220-B220</f>
        <v/>
      </c>
      <c r="F220" s="22">
        <f>-(D220-C220)</f>
        <v/>
      </c>
      <c r="G220" s="43">
        <f>-(D220-B220)</f>
        <v/>
      </c>
      <c r="H220" s="33">
        <f>IFERROR(F220/ABS(C220),0)</f>
        <v/>
      </c>
      <c r="I220" s="44">
        <f>IF(AND(ABS(F220)&gt;=$L$2,ABS(H220)&gt;=$L$3),"Explain","")</f>
        <v/>
      </c>
      <c r="J220" s="2" t="n"/>
      <c r="K220" s="2" t="n"/>
      <c r="L220" s="2" t="n"/>
    </row>
    <row r="221">
      <c r="A221" s="12" t="inlineStr">
        <is>
          <t>Total expenditures</t>
        </is>
      </c>
      <c r="B221" s="24">
        <f>SUM(B208:B220)</f>
        <v/>
      </c>
      <c r="C221" s="24">
        <f>SUM(C208:C220)</f>
        <v/>
      </c>
      <c r="D221" s="24">
        <f>SUM(D208:D220)</f>
        <v/>
      </c>
      <c r="E221" s="24">
        <f>C221-B221</f>
        <v/>
      </c>
      <c r="F221" s="24">
        <f>-(D221-C221)</f>
        <v/>
      </c>
      <c r="G221" s="24">
        <f>-(D221-B221)</f>
        <v/>
      </c>
      <c r="H221" s="45">
        <f>IFERROR(F221/ABS(C221),0)</f>
        <v/>
      </c>
      <c r="I221" s="46">
        <f>IF(AND(ABS(F221)&gt;=$L$2,ABS(H221)&gt;=$L$3),"Explain","")</f>
        <v/>
      </c>
      <c r="J221" s="2" t="n"/>
      <c r="K221" s="2" t="n"/>
      <c r="L221" s="2" t="n"/>
    </row>
    <row r="222">
      <c r="A222" s="2" t="n"/>
      <c r="B222" s="2" t="n"/>
      <c r="C222" s="2" t="n"/>
      <c r="D222" s="2" t="n"/>
      <c r="E222" s="2" t="n"/>
      <c r="F222" s="2" t="n"/>
      <c r="G222" s="2" t="n"/>
      <c r="H222" s="2" t="n"/>
      <c r="I222" s="2" t="n"/>
      <c r="J222" s="2" t="n"/>
      <c r="K222" s="2" t="n"/>
      <c r="L222" s="2" t="n"/>
    </row>
    <row r="223">
      <c r="A223" s="21" t="inlineStr">
        <is>
          <t>Transfers in</t>
        </is>
      </c>
      <c r="B223" s="36">
        <f>SUMIFS(GF_Budget_Detail!$E$5:$E$295,GF_Budget_Detail!$A$5:$A$295,$J$195,GF_Budget_Detail!$D$5:$D$295,"Transfers in")</f>
        <v/>
      </c>
      <c r="C223" s="36">
        <f>SUMIFS(GF_Budget_Detail!$F$5:$F$295,GF_Budget_Detail!$A$5:$A$295,$J$195,GF_Budget_Detail!$D$5:$D$295,"Transfers in")</f>
        <v/>
      </c>
      <c r="D223" s="36">
        <f>SUMIFS(GF_Budget_Detail!$G$5:$G$295,GF_Budget_Detail!$A$5:$A$295,$J$195,GF_Budget_Detail!$D$5:$D$295,"Transfers in")</f>
        <v/>
      </c>
      <c r="E223" s="22">
        <f>C223-B223</f>
        <v/>
      </c>
      <c r="F223" s="22">
        <f>(D223-C223)</f>
        <v/>
      </c>
      <c r="G223" s="43">
        <f>(D223-B223)</f>
        <v/>
      </c>
      <c r="H223" s="33">
        <f>IFERROR(F223/ABS(C223),0)</f>
        <v/>
      </c>
      <c r="I223" s="44">
        <f>IF(AND(ABS(F223)&gt;=$L$2,ABS(H223)&gt;=$L$3),"Explain","")</f>
        <v/>
      </c>
      <c r="J223" s="2" t="n"/>
      <c r="K223" s="2" t="n"/>
      <c r="L223" s="2" t="n"/>
    </row>
    <row r="224">
      <c r="A224" s="21" t="inlineStr">
        <is>
          <t>Transfers out</t>
        </is>
      </c>
      <c r="B224" s="36">
        <f>SUMIFS(GF_Budget_Detail!$E$5:$E$295,GF_Budget_Detail!$A$5:$A$295,$J$195,GF_Budget_Detail!$D$5:$D$295,"Transfers out")</f>
        <v/>
      </c>
      <c r="C224" s="36">
        <f>SUMIFS(GF_Budget_Detail!$F$5:$F$295,GF_Budget_Detail!$A$5:$A$295,$J$195,GF_Budget_Detail!$D$5:$D$295,"Transfers out")</f>
        <v/>
      </c>
      <c r="D224" s="36">
        <f>SUMIFS(GF_Budget_Detail!$G$5:$G$295,GF_Budget_Detail!$A$5:$A$295,$J$195,GF_Budget_Detail!$D$5:$D$295,"Transfers out")</f>
        <v/>
      </c>
      <c r="E224" s="22">
        <f>C224-B224</f>
        <v/>
      </c>
      <c r="F224" s="22">
        <f>(D224-C224)</f>
        <v/>
      </c>
      <c r="G224" s="43">
        <f>(D224-B224)</f>
        <v/>
      </c>
      <c r="H224" s="33">
        <f>IFERROR(F224/ABS(C224),0)</f>
        <v/>
      </c>
      <c r="I224" s="44">
        <f>IF(AND(ABS(F224)&gt;=$L$2,ABS(H224)&gt;=$L$3),"Explain","")</f>
        <v/>
      </c>
      <c r="J224" s="2" t="n"/>
      <c r="K224" s="2" t="n"/>
      <c r="L224" s="2" t="n"/>
    </row>
    <row r="225">
      <c r="A225" s="21" t="inlineStr">
        <is>
          <t>Debt / lease financing proceeds</t>
        </is>
      </c>
      <c r="B225" s="36">
        <f>SUMIFS(GF_Budget_Detail!$E$5:$E$295,GF_Budget_Detail!$A$5:$A$295,$J$195,GF_Budget_Detail!$D$5:$D$295,"Debt / lease financing proceeds")</f>
        <v/>
      </c>
      <c r="C225" s="36">
        <f>SUMIFS(GF_Budget_Detail!$F$5:$F$295,GF_Budget_Detail!$A$5:$A$295,$J$195,GF_Budget_Detail!$D$5:$D$295,"Debt / lease financing proceeds")</f>
        <v/>
      </c>
      <c r="D225" s="36">
        <f>SUMIFS(GF_Budget_Detail!$G$5:$G$295,GF_Budget_Detail!$A$5:$A$295,$J$195,GF_Budget_Detail!$D$5:$D$295,"Debt / lease financing proceeds")</f>
        <v/>
      </c>
      <c r="E225" s="22">
        <f>C225-B225</f>
        <v/>
      </c>
      <c r="F225" s="22">
        <f>(D225-C225)</f>
        <v/>
      </c>
      <c r="G225" s="43">
        <f>(D225-B225)</f>
        <v/>
      </c>
      <c r="H225" s="33">
        <f>IFERROR(F225/ABS(C225),0)</f>
        <v/>
      </c>
      <c r="I225" s="44">
        <f>IF(AND(ABS(F225)&gt;=$L$2,ABS(H225)&gt;=$L$3),"Explain","")</f>
        <v/>
      </c>
      <c r="J225" s="2" t="n"/>
      <c r="K225" s="2" t="n"/>
      <c r="L225" s="2" t="n"/>
    </row>
    <row r="226">
      <c r="A226" s="21" t="inlineStr">
        <is>
          <t>Proceeds from sale of capital assets</t>
        </is>
      </c>
      <c r="B226" s="36">
        <f>SUMIFS(GF_Budget_Detail!$E$5:$E$295,GF_Budget_Detail!$A$5:$A$295,$J$195,GF_Budget_Detail!$D$5:$D$295,"Proceeds from sale of capital assets")</f>
        <v/>
      </c>
      <c r="C226" s="36">
        <f>SUMIFS(GF_Budget_Detail!$F$5:$F$295,GF_Budget_Detail!$A$5:$A$295,$J$195,GF_Budget_Detail!$D$5:$D$295,"Proceeds from sale of capital assets")</f>
        <v/>
      </c>
      <c r="D226" s="36">
        <f>SUMIFS(GF_Budget_Detail!$G$5:$G$295,GF_Budget_Detail!$A$5:$A$295,$J$195,GF_Budget_Detail!$D$5:$D$295,"Proceeds from sale of capital assets")</f>
        <v/>
      </c>
      <c r="E226" s="22">
        <f>C226-B226</f>
        <v/>
      </c>
      <c r="F226" s="22">
        <f>(D226-C226)</f>
        <v/>
      </c>
      <c r="G226" s="43">
        <f>(D226-B226)</f>
        <v/>
      </c>
      <c r="H226" s="33">
        <f>IFERROR(F226/ABS(C226),0)</f>
        <v/>
      </c>
      <c r="I226" s="44">
        <f>IF(AND(ABS(F226)&gt;=$L$2,ABS(H226)&gt;=$L$3),"Explain","")</f>
        <v/>
      </c>
      <c r="J226" s="2" t="n"/>
      <c r="K226" s="2" t="n"/>
      <c r="L226" s="2" t="n"/>
    </row>
    <row r="227">
      <c r="A227" s="21" t="inlineStr">
        <is>
          <t>Special items</t>
        </is>
      </c>
      <c r="B227" s="36">
        <f>SUMIFS(GF_Budget_Detail!$E$5:$E$295,GF_Budget_Detail!$A$5:$A$295,$J$195,GF_Budget_Detail!$D$5:$D$295,"Special items")</f>
        <v/>
      </c>
      <c r="C227" s="36">
        <f>SUMIFS(GF_Budget_Detail!$F$5:$F$295,GF_Budget_Detail!$A$5:$A$295,$J$195,GF_Budget_Detail!$D$5:$D$295,"Special items")</f>
        <v/>
      </c>
      <c r="D227" s="36">
        <f>SUMIFS(GF_Budget_Detail!$G$5:$G$295,GF_Budget_Detail!$A$5:$A$295,$J$195,GF_Budget_Detail!$D$5:$D$295,"Special items")</f>
        <v/>
      </c>
      <c r="E227" s="22">
        <f>C227-B227</f>
        <v/>
      </c>
      <c r="F227" s="22">
        <f>(D227-C227)</f>
        <v/>
      </c>
      <c r="G227" s="43">
        <f>(D227-B227)</f>
        <v/>
      </c>
      <c r="H227" s="33">
        <f>IFERROR(F227/ABS(C227),0)</f>
        <v/>
      </c>
      <c r="I227" s="44">
        <f>IF(AND(ABS(F227)&gt;=$L$2,ABS(H227)&gt;=$L$3),"Explain","")</f>
        <v/>
      </c>
      <c r="J227" s="2" t="n"/>
      <c r="K227" s="2" t="n"/>
      <c r="L227" s="2" t="n"/>
    </row>
    <row r="228">
      <c r="A228" s="12" t="inlineStr">
        <is>
          <t>Total other financing sources (uses) and special items</t>
        </is>
      </c>
      <c r="B228" s="24">
        <f>SUM(B223:B227)</f>
        <v/>
      </c>
      <c r="C228" s="24">
        <f>SUM(C223:C227)</f>
        <v/>
      </c>
      <c r="D228" s="24">
        <f>SUM(D223:D227)</f>
        <v/>
      </c>
      <c r="E228" s="24">
        <f>C228-B228</f>
        <v/>
      </c>
      <c r="F228" s="24">
        <f>(D228-C228)</f>
        <v/>
      </c>
      <c r="G228" s="24">
        <f>(D228-B228)</f>
        <v/>
      </c>
      <c r="H228" s="45">
        <f>IFERROR(F228/ABS(C228),0)</f>
        <v/>
      </c>
      <c r="I228" s="46">
        <f>IF(AND(ABS(F228)&gt;=$L$2,ABS(H228)&gt;=$L$3),"Explain","")</f>
        <v/>
      </c>
      <c r="J228" s="2" t="n"/>
      <c r="K228" s="2" t="n"/>
      <c r="L228" s="2" t="n"/>
    </row>
    <row r="229">
      <c r="A229" s="2" t="n"/>
      <c r="B229" s="2" t="n"/>
      <c r="C229" s="2" t="n"/>
      <c r="D229" s="2" t="n"/>
      <c r="E229" s="2" t="n"/>
      <c r="F229" s="2" t="n"/>
      <c r="G229" s="2" t="n"/>
      <c r="H229" s="2" t="n"/>
      <c r="I229" s="2" t="n"/>
      <c r="J229" s="2" t="n"/>
      <c r="K229" s="2" t="n"/>
      <c r="L229" s="2" t="n"/>
    </row>
    <row r="230">
      <c r="A230" s="12" t="inlineStr">
        <is>
          <t>Net change in fund balance</t>
        </is>
      </c>
      <c r="B230" s="31">
        <f>B206-B221+B228</f>
        <v/>
      </c>
      <c r="C230" s="31">
        <f>C206-C221+C228</f>
        <v/>
      </c>
      <c r="D230" s="31">
        <f>D206-D221+D228</f>
        <v/>
      </c>
      <c r="E230" s="31">
        <f>C230-B230</f>
        <v/>
      </c>
      <c r="F230" s="31">
        <f>D230-C230</f>
        <v/>
      </c>
      <c r="G230" s="31">
        <f>D230-B230</f>
        <v/>
      </c>
      <c r="H230" s="2" t="n"/>
      <c r="I230" s="2" t="n"/>
      <c r="J230" s="2" t="n"/>
      <c r="K230" s="2" t="n"/>
      <c r="L230" s="2" t="n"/>
    </row>
    <row r="231">
      <c r="A231" s="2" t="n"/>
      <c r="B231" s="2" t="n"/>
      <c r="C231" s="2" t="n"/>
      <c r="D231" s="2" t="n"/>
      <c r="E231" s="2" t="n"/>
      <c r="F231" s="2" t="n"/>
      <c r="G231" s="2" t="n"/>
      <c r="H231" s="2" t="n"/>
      <c r="I231" s="2" t="n"/>
      <c r="J231" s="2" t="n"/>
      <c r="K231" s="2" t="n"/>
      <c r="L231" s="2" t="n"/>
    </row>
    <row r="232">
      <c r="A232" s="2" t="n"/>
      <c r="B232" s="2" t="n"/>
      <c r="C232" s="2" t="n"/>
      <c r="D232" s="2" t="n"/>
      <c r="E232" s="2" t="n"/>
      <c r="F232" s="2" t="n"/>
      <c r="G232" s="2" t="n"/>
      <c r="H232" s="2" t="n"/>
      <c r="I232" s="2" t="n"/>
      <c r="J232" s="2" t="n"/>
      <c r="K232" s="2" t="n"/>
      <c r="L232" s="2" t="n"/>
    </row>
    <row r="233">
      <c r="A233" s="16" t="inlineStr">
        <is>
          <t>FY2019-20 (year ended June 30, 2020)  -  Budgetary comparison schedule, General Fund  -  GAAP (modified accrual) budgetary basis</t>
        </is>
      </c>
      <c r="B233" s="39" t="n"/>
      <c r="C233" s="39" t="n"/>
      <c r="D233" s="39" t="n"/>
      <c r="E233" s="39" t="n"/>
      <c r="F233" s="39" t="n"/>
      <c r="G233" s="39" t="n"/>
      <c r="H233" s="39" t="n"/>
      <c r="I233" s="39" t="n"/>
      <c r="J233" s="40" t="n">
        <v>2020</v>
      </c>
      <c r="K233" s="2" t="n"/>
      <c r="L233" s="2" t="n"/>
    </row>
    <row r="234" ht="54" customHeight="1">
      <c r="A234" s="41" t="inlineStr">
        <is>
          <t>Category</t>
        </is>
      </c>
      <c r="B234" s="41" t="inlineStr">
        <is>
          <t>Budgeted amounts - Original</t>
        </is>
      </c>
      <c r="C234" s="41" t="inlineStr">
        <is>
          <t>Budgeted amounts - Final</t>
        </is>
      </c>
      <c r="D234" s="41" t="inlineStr">
        <is>
          <t>Actual amounts (budgetary basis)</t>
        </is>
      </c>
      <c r="E234" s="41" t="inlineStr">
        <is>
          <t>Variance: Original to Final budget, increase (decrease)</t>
        </is>
      </c>
      <c r="F234" s="41" t="inlineStr">
        <is>
          <t>Variance with Final budget, positive (negative)</t>
        </is>
      </c>
      <c r="G234" s="42" t="inlineStr">
        <is>
          <t>Variance with Original budget, positive (negative) [supplementary]</t>
        </is>
      </c>
      <c r="H234" s="41" t="inlineStr">
        <is>
          <t>Variance with Final budget %</t>
        </is>
      </c>
      <c r="I234" s="41" t="inlineStr">
        <is>
          <t>Significant variance? (GASB 103 note candidate)</t>
        </is>
      </c>
      <c r="J234" s="2" t="n"/>
      <c r="K234" s="2" t="n"/>
      <c r="L234" s="2" t="n"/>
    </row>
    <row r="235">
      <c r="A235" s="21" t="inlineStr">
        <is>
          <t>Property taxes</t>
        </is>
      </c>
      <c r="B235" s="36">
        <f>SUMIFS(GF_Budget_Detail!$E$5:$E$295,GF_Budget_Detail!$A$5:$A$295,$J$233,GF_Budget_Detail!$D$5:$D$295,"Property taxes")</f>
        <v/>
      </c>
      <c r="C235" s="36">
        <f>SUMIFS(GF_Budget_Detail!$F$5:$F$295,GF_Budget_Detail!$A$5:$A$295,$J$233,GF_Budget_Detail!$D$5:$D$295,"Property taxes")</f>
        <v/>
      </c>
      <c r="D235" s="36">
        <f>SUMIFS(GF_Budget_Detail!$G$5:$G$295,GF_Budget_Detail!$A$5:$A$295,$J$233,GF_Budget_Detail!$D$5:$D$295,"Property taxes")</f>
        <v/>
      </c>
      <c r="E235" s="22">
        <f>C235-B235</f>
        <v/>
      </c>
      <c r="F235" s="22">
        <f>(D235-C235)</f>
        <v/>
      </c>
      <c r="G235" s="43">
        <f>(D235-B235)</f>
        <v/>
      </c>
      <c r="H235" s="33">
        <f>IFERROR(F235/ABS(C235),0)</f>
        <v/>
      </c>
      <c r="I235" s="44">
        <f>IF(AND(ABS(F235)&gt;=$L$2,ABS(H235)&gt;=$L$3),"Explain","")</f>
        <v/>
      </c>
      <c r="J235" s="2" t="n"/>
      <c r="K235" s="2" t="n"/>
      <c r="L235" s="2" t="n"/>
    </row>
    <row r="236">
      <c r="A236" s="21" t="inlineStr">
        <is>
          <t>Taxes other than property</t>
        </is>
      </c>
      <c r="B236" s="36">
        <f>SUMIFS(GF_Budget_Detail!$E$5:$E$295,GF_Budget_Detail!$A$5:$A$295,$J$233,GF_Budget_Detail!$D$5:$D$295,"Taxes other than property")</f>
        <v/>
      </c>
      <c r="C236" s="36">
        <f>SUMIFS(GF_Budget_Detail!$F$5:$F$295,GF_Budget_Detail!$A$5:$A$295,$J$233,GF_Budget_Detail!$D$5:$D$295,"Taxes other than property")</f>
        <v/>
      </c>
      <c r="D236" s="36">
        <f>SUMIFS(GF_Budget_Detail!$G$5:$G$295,GF_Budget_Detail!$A$5:$A$295,$J$233,GF_Budget_Detail!$D$5:$D$295,"Taxes other than property")</f>
        <v/>
      </c>
      <c r="E236" s="22">
        <f>C236-B236</f>
        <v/>
      </c>
      <c r="F236" s="22">
        <f>(D236-C236)</f>
        <v/>
      </c>
      <c r="G236" s="43">
        <f>(D236-B236)</f>
        <v/>
      </c>
      <c r="H236" s="33">
        <f>IFERROR(F236/ABS(C236),0)</f>
        <v/>
      </c>
      <c r="I236" s="44">
        <f>IF(AND(ABS(F236)&gt;=$L$2,ABS(H236)&gt;=$L$3),"Explain","")</f>
        <v/>
      </c>
      <c r="J236" s="2" t="n"/>
      <c r="K236" s="2" t="n"/>
      <c r="L236" s="2" t="n"/>
    </row>
    <row r="237">
      <c r="A237" s="21" t="inlineStr">
        <is>
          <t>Taxes and assessments (combined)</t>
        </is>
      </c>
      <c r="B237" s="36">
        <f>SUMIFS(GF_Budget_Detail!$E$5:$E$295,GF_Budget_Detail!$A$5:$A$295,$J$233,GF_Budget_Detail!$D$5:$D$295,"Taxes and assessments (combined)")</f>
        <v/>
      </c>
      <c r="C237" s="36">
        <f>SUMIFS(GF_Budget_Detail!$F$5:$F$295,GF_Budget_Detail!$A$5:$A$295,$J$233,GF_Budget_Detail!$D$5:$D$295,"Taxes and assessments (combined)")</f>
        <v/>
      </c>
      <c r="D237" s="36">
        <f>SUMIFS(GF_Budget_Detail!$G$5:$G$295,GF_Budget_Detail!$A$5:$A$295,$J$233,GF_Budget_Detail!$D$5:$D$295,"Taxes and assessments (combined)")</f>
        <v/>
      </c>
      <c r="E237" s="22">
        <f>C237-B237</f>
        <v/>
      </c>
      <c r="F237" s="22">
        <f>(D237-C237)</f>
        <v/>
      </c>
      <c r="G237" s="43">
        <f>(D237-B237)</f>
        <v/>
      </c>
      <c r="H237" s="33">
        <f>IFERROR(F237/ABS(C237),0)</f>
        <v/>
      </c>
      <c r="I237" s="44">
        <f>IF(AND(ABS(F237)&gt;=$L$2,ABS(H237)&gt;=$L$3),"Explain","")</f>
        <v/>
      </c>
      <c r="J237" s="2" t="n"/>
      <c r="K237" s="2" t="n"/>
      <c r="L237" s="2" t="n"/>
    </row>
    <row r="238">
      <c r="A238" s="21" t="inlineStr">
        <is>
          <t>Licenses and permits</t>
        </is>
      </c>
      <c r="B238" s="36">
        <f>SUMIFS(GF_Budget_Detail!$E$5:$E$295,GF_Budget_Detail!$A$5:$A$295,$J$233,GF_Budget_Detail!$D$5:$D$295,"Licenses and permits")</f>
        <v/>
      </c>
      <c r="C238" s="36">
        <f>SUMIFS(GF_Budget_Detail!$F$5:$F$295,GF_Budget_Detail!$A$5:$A$295,$J$233,GF_Budget_Detail!$D$5:$D$295,"Licenses and permits")</f>
        <v/>
      </c>
      <c r="D238" s="36">
        <f>SUMIFS(GF_Budget_Detail!$G$5:$G$295,GF_Budget_Detail!$A$5:$A$295,$J$233,GF_Budget_Detail!$D$5:$D$295,"Licenses and permits")</f>
        <v/>
      </c>
      <c r="E238" s="22">
        <f>C238-B238</f>
        <v/>
      </c>
      <c r="F238" s="22">
        <f>(D238-C238)</f>
        <v/>
      </c>
      <c r="G238" s="43">
        <f>(D238-B238)</f>
        <v/>
      </c>
      <c r="H238" s="33">
        <f>IFERROR(F238/ABS(C238),0)</f>
        <v/>
      </c>
      <c r="I238" s="44">
        <f>IF(AND(ABS(F238)&gt;=$L$2,ABS(H238)&gt;=$L$3),"Explain","")</f>
        <v/>
      </c>
      <c r="J238" s="2" t="n"/>
      <c r="K238" s="2" t="n"/>
      <c r="L238" s="2" t="n"/>
    </row>
    <row r="239">
      <c r="A239" s="21" t="inlineStr">
        <is>
          <t>Fines and forfeitures</t>
        </is>
      </c>
      <c r="B239" s="36">
        <f>SUMIFS(GF_Budget_Detail!$E$5:$E$295,GF_Budget_Detail!$A$5:$A$295,$J$233,GF_Budget_Detail!$D$5:$D$295,"Fines and forfeitures")</f>
        <v/>
      </c>
      <c r="C239" s="36">
        <f>SUMIFS(GF_Budget_Detail!$F$5:$F$295,GF_Budget_Detail!$A$5:$A$295,$J$233,GF_Budget_Detail!$D$5:$D$295,"Fines and forfeitures")</f>
        <v/>
      </c>
      <c r="D239" s="36">
        <f>SUMIFS(GF_Budget_Detail!$G$5:$G$295,GF_Budget_Detail!$A$5:$A$295,$J$233,GF_Budget_Detail!$D$5:$D$295,"Fines and forfeitures")</f>
        <v/>
      </c>
      <c r="E239" s="22">
        <f>C239-B239</f>
        <v/>
      </c>
      <c r="F239" s="22">
        <f>(D239-C239)</f>
        <v/>
      </c>
      <c r="G239" s="43">
        <f>(D239-B239)</f>
        <v/>
      </c>
      <c r="H239" s="33">
        <f>IFERROR(F239/ABS(C239),0)</f>
        <v/>
      </c>
      <c r="I239" s="44">
        <f>IF(AND(ABS(F239)&gt;=$L$2,ABS(H239)&gt;=$L$3),"Explain","")</f>
        <v/>
      </c>
      <c r="J239" s="2" t="n"/>
      <c r="K239" s="2" t="n"/>
      <c r="L239" s="2" t="n"/>
    </row>
    <row r="240">
      <c r="A240" s="21" t="inlineStr">
        <is>
          <t>Use of money and property</t>
        </is>
      </c>
      <c r="B240" s="36">
        <f>SUMIFS(GF_Budget_Detail!$E$5:$E$295,GF_Budget_Detail!$A$5:$A$295,$J$233,GF_Budget_Detail!$D$5:$D$295,"Use of money and property")</f>
        <v/>
      </c>
      <c r="C240" s="36">
        <f>SUMIFS(GF_Budget_Detail!$F$5:$F$295,GF_Budget_Detail!$A$5:$A$295,$J$233,GF_Budget_Detail!$D$5:$D$295,"Use of money and property")</f>
        <v/>
      </c>
      <c r="D240" s="36">
        <f>SUMIFS(GF_Budget_Detail!$G$5:$G$295,GF_Budget_Detail!$A$5:$A$295,$J$233,GF_Budget_Detail!$D$5:$D$295,"Use of money and property")</f>
        <v/>
      </c>
      <c r="E240" s="22">
        <f>C240-B240</f>
        <v/>
      </c>
      <c r="F240" s="22">
        <f>(D240-C240)</f>
        <v/>
      </c>
      <c r="G240" s="43">
        <f>(D240-B240)</f>
        <v/>
      </c>
      <c r="H240" s="33">
        <f>IFERROR(F240/ABS(C240),0)</f>
        <v/>
      </c>
      <c r="I240" s="44">
        <f>IF(AND(ABS(F240)&gt;=$L$2,ABS(H240)&gt;=$L$3),"Explain","")</f>
        <v/>
      </c>
      <c r="J240" s="2" t="n"/>
      <c r="K240" s="2" t="n"/>
      <c r="L240" s="2" t="n"/>
    </row>
    <row r="241">
      <c r="A241" s="21" t="inlineStr">
        <is>
          <t>Intergovernmental</t>
        </is>
      </c>
      <c r="B241" s="36">
        <f>SUMIFS(GF_Budget_Detail!$E$5:$E$295,GF_Budget_Detail!$A$5:$A$295,$J$233,GF_Budget_Detail!$D$5:$D$295,"Intergovernmental")</f>
        <v/>
      </c>
      <c r="C241" s="36">
        <f>SUMIFS(GF_Budget_Detail!$F$5:$F$295,GF_Budget_Detail!$A$5:$A$295,$J$233,GF_Budget_Detail!$D$5:$D$295,"Intergovernmental")</f>
        <v/>
      </c>
      <c r="D241" s="36">
        <f>SUMIFS(GF_Budget_Detail!$G$5:$G$295,GF_Budget_Detail!$A$5:$A$295,$J$233,GF_Budget_Detail!$D$5:$D$295,"Intergovernmental")</f>
        <v/>
      </c>
      <c r="E241" s="22">
        <f>C241-B241</f>
        <v/>
      </c>
      <c r="F241" s="22">
        <f>(D241-C241)</f>
        <v/>
      </c>
      <c r="G241" s="43">
        <f>(D241-B241)</f>
        <v/>
      </c>
      <c r="H241" s="33">
        <f>IFERROR(F241/ABS(C241),0)</f>
        <v/>
      </c>
      <c r="I241" s="44">
        <f>IF(AND(ABS(F241)&gt;=$L$2,ABS(H241)&gt;=$L$3),"Explain","")</f>
        <v/>
      </c>
      <c r="J241" s="2" t="n"/>
      <c r="K241" s="2" t="n"/>
      <c r="L241" s="2" t="n"/>
    </row>
    <row r="242">
      <c r="A242" s="21" t="inlineStr">
        <is>
          <t>Charges for services</t>
        </is>
      </c>
      <c r="B242" s="36">
        <f>SUMIFS(GF_Budget_Detail!$E$5:$E$295,GF_Budget_Detail!$A$5:$A$295,$J$233,GF_Budget_Detail!$D$5:$D$295,"Charges for services")</f>
        <v/>
      </c>
      <c r="C242" s="36">
        <f>SUMIFS(GF_Budget_Detail!$F$5:$F$295,GF_Budget_Detail!$A$5:$A$295,$J$233,GF_Budget_Detail!$D$5:$D$295,"Charges for services")</f>
        <v/>
      </c>
      <c r="D242" s="36">
        <f>SUMIFS(GF_Budget_Detail!$G$5:$G$295,GF_Budget_Detail!$A$5:$A$295,$J$233,GF_Budget_Detail!$D$5:$D$295,"Charges for services")</f>
        <v/>
      </c>
      <c r="E242" s="22">
        <f>C242-B242</f>
        <v/>
      </c>
      <c r="F242" s="22">
        <f>(D242-C242)</f>
        <v/>
      </c>
      <c r="G242" s="43">
        <f>(D242-B242)</f>
        <v/>
      </c>
      <c r="H242" s="33">
        <f>IFERROR(F242/ABS(C242),0)</f>
        <v/>
      </c>
      <c r="I242" s="44">
        <f>IF(AND(ABS(F242)&gt;=$L$2,ABS(H242)&gt;=$L$3),"Explain","")</f>
        <v/>
      </c>
      <c r="J242" s="2" t="n"/>
      <c r="K242" s="2" t="n"/>
      <c r="L242" s="2" t="n"/>
    </row>
    <row r="243">
      <c r="A243" s="21" t="inlineStr">
        <is>
          <t>Other revenues</t>
        </is>
      </c>
      <c r="B243" s="36">
        <f>SUMIFS(GF_Budget_Detail!$E$5:$E$295,GF_Budget_Detail!$A$5:$A$295,$J$233,GF_Budget_Detail!$D$5:$D$295,"Other revenues")</f>
        <v/>
      </c>
      <c r="C243" s="36">
        <f>SUMIFS(GF_Budget_Detail!$F$5:$F$295,GF_Budget_Detail!$A$5:$A$295,$J$233,GF_Budget_Detail!$D$5:$D$295,"Other revenues")</f>
        <v/>
      </c>
      <c r="D243" s="36">
        <f>SUMIFS(GF_Budget_Detail!$G$5:$G$295,GF_Budget_Detail!$A$5:$A$295,$J$233,GF_Budget_Detail!$D$5:$D$295,"Other revenues")</f>
        <v/>
      </c>
      <c r="E243" s="22">
        <f>C243-B243</f>
        <v/>
      </c>
      <c r="F243" s="22">
        <f>(D243-C243)</f>
        <v/>
      </c>
      <c r="G243" s="43">
        <f>(D243-B243)</f>
        <v/>
      </c>
      <c r="H243" s="33">
        <f>IFERROR(F243/ABS(C243),0)</f>
        <v/>
      </c>
      <c r="I243" s="44">
        <f>IF(AND(ABS(F243)&gt;=$L$2,ABS(H243)&gt;=$L$3),"Explain","")</f>
        <v/>
      </c>
      <c r="J243" s="2" t="n"/>
      <c r="K243" s="2" t="n"/>
      <c r="L243" s="2" t="n"/>
    </row>
    <row r="244">
      <c r="A244" s="12" t="inlineStr">
        <is>
          <t>Total revenues</t>
        </is>
      </c>
      <c r="B244" s="24">
        <f>SUM(B235:B243)</f>
        <v/>
      </c>
      <c r="C244" s="24">
        <f>SUM(C235:C243)</f>
        <v/>
      </c>
      <c r="D244" s="24">
        <f>SUM(D235:D243)</f>
        <v/>
      </c>
      <c r="E244" s="24">
        <f>C244-B244</f>
        <v/>
      </c>
      <c r="F244" s="24">
        <f>(D244-C244)</f>
        <v/>
      </c>
      <c r="G244" s="24">
        <f>(D244-B244)</f>
        <v/>
      </c>
      <c r="H244" s="45">
        <f>IFERROR(F244/ABS(C244),0)</f>
        <v/>
      </c>
      <c r="I244" s="46">
        <f>IF(AND(ABS(F244)&gt;=$L$2,ABS(H244)&gt;=$L$3),"Explain","")</f>
        <v/>
      </c>
      <c r="J244" s="2" t="n"/>
      <c r="K244" s="2" t="n"/>
      <c r="L244" s="2" t="n"/>
    </row>
    <row r="245">
      <c r="A245" s="2" t="n"/>
      <c r="B245" s="2" t="n"/>
      <c r="C245" s="2" t="n"/>
      <c r="D245" s="2" t="n"/>
      <c r="E245" s="2" t="n"/>
      <c r="F245" s="2" t="n"/>
      <c r="G245" s="2" t="n"/>
      <c r="H245" s="2" t="n"/>
      <c r="I245" s="2" t="n"/>
      <c r="J245" s="2" t="n"/>
      <c r="K245" s="2" t="n"/>
      <c r="L245" s="2" t="n"/>
    </row>
    <row r="246">
      <c r="A246" s="21" t="inlineStr">
        <is>
          <t>General government</t>
        </is>
      </c>
      <c r="B246" s="36">
        <f>SUMIFS(GF_Budget_Detail!$E$5:$E$295,GF_Budget_Detail!$A$5:$A$295,$J$233,GF_Budget_Detail!$D$5:$D$295,"General government")</f>
        <v/>
      </c>
      <c r="C246" s="36">
        <f>SUMIFS(GF_Budget_Detail!$F$5:$F$295,GF_Budget_Detail!$A$5:$A$295,$J$233,GF_Budget_Detail!$D$5:$D$295,"General government")</f>
        <v/>
      </c>
      <c r="D246" s="36">
        <f>SUMIFS(GF_Budget_Detail!$G$5:$G$295,GF_Budget_Detail!$A$5:$A$295,$J$233,GF_Budget_Detail!$D$5:$D$295,"General government")</f>
        <v/>
      </c>
      <c r="E246" s="22">
        <f>C246-B246</f>
        <v/>
      </c>
      <c r="F246" s="22">
        <f>-(D246-C246)</f>
        <v/>
      </c>
      <c r="G246" s="43">
        <f>-(D246-B246)</f>
        <v/>
      </c>
      <c r="H246" s="33">
        <f>IFERROR(F246/ABS(C246),0)</f>
        <v/>
      </c>
      <c r="I246" s="44">
        <f>IF(AND(ABS(F246)&gt;=$L$2,ABS(H246)&gt;=$L$3),"Explain","")</f>
        <v/>
      </c>
      <c r="J246" s="2" t="n"/>
      <c r="K246" s="2" t="n"/>
      <c r="L246" s="2" t="n"/>
    </row>
    <row r="247">
      <c r="A247" s="21" t="inlineStr">
        <is>
          <t>Public works</t>
        </is>
      </c>
      <c r="B247" s="36">
        <f>SUMIFS(GF_Budget_Detail!$E$5:$E$295,GF_Budget_Detail!$A$5:$A$295,$J$233,GF_Budget_Detail!$D$5:$D$295,"Public works")</f>
        <v/>
      </c>
      <c r="C247" s="36">
        <f>SUMIFS(GF_Budget_Detail!$F$5:$F$295,GF_Budget_Detail!$A$5:$A$295,$J$233,GF_Budget_Detail!$D$5:$D$295,"Public works")</f>
        <v/>
      </c>
      <c r="D247" s="36">
        <f>SUMIFS(GF_Budget_Detail!$G$5:$G$295,GF_Budget_Detail!$A$5:$A$295,$J$233,GF_Budget_Detail!$D$5:$D$295,"Public works")</f>
        <v/>
      </c>
      <c r="E247" s="22">
        <f>C247-B247</f>
        <v/>
      </c>
      <c r="F247" s="22">
        <f>-(D247-C247)</f>
        <v/>
      </c>
      <c r="G247" s="43">
        <f>-(D247-B247)</f>
        <v/>
      </c>
      <c r="H247" s="33">
        <f>IFERROR(F247/ABS(C247),0)</f>
        <v/>
      </c>
      <c r="I247" s="44">
        <f>IF(AND(ABS(F247)&gt;=$L$2,ABS(H247)&gt;=$L$3),"Explain","")</f>
        <v/>
      </c>
      <c r="J247" s="2" t="n"/>
      <c r="K247" s="2" t="n"/>
      <c r="L247" s="2" t="n"/>
    </row>
    <row r="248">
      <c r="A248" s="21" t="inlineStr">
        <is>
          <t>Recreation</t>
        </is>
      </c>
      <c r="B248" s="36">
        <f>SUMIFS(GF_Budget_Detail!$E$5:$E$295,GF_Budget_Detail!$A$5:$A$295,$J$233,GF_Budget_Detail!$D$5:$D$295,"Recreation")</f>
        <v/>
      </c>
      <c r="C248" s="36">
        <f>SUMIFS(GF_Budget_Detail!$F$5:$F$295,GF_Budget_Detail!$A$5:$A$295,$J$233,GF_Budget_Detail!$D$5:$D$295,"Recreation")</f>
        <v/>
      </c>
      <c r="D248" s="36">
        <f>SUMIFS(GF_Budget_Detail!$G$5:$G$295,GF_Budget_Detail!$A$5:$A$295,$J$233,GF_Budget_Detail!$D$5:$D$295,"Recreation")</f>
        <v/>
      </c>
      <c r="E248" s="22">
        <f>C248-B248</f>
        <v/>
      </c>
      <c r="F248" s="22">
        <f>-(D248-C248)</f>
        <v/>
      </c>
      <c r="G248" s="43">
        <f>-(D248-B248)</f>
        <v/>
      </c>
      <c r="H248" s="33">
        <f>IFERROR(F248/ABS(C248),0)</f>
        <v/>
      </c>
      <c r="I248" s="44">
        <f>IF(AND(ABS(F248)&gt;=$L$2,ABS(H248)&gt;=$L$3),"Explain","")</f>
        <v/>
      </c>
      <c r="J248" s="2" t="n"/>
      <c r="K248" s="2" t="n"/>
      <c r="L248" s="2" t="n"/>
    </row>
    <row r="249">
      <c r="A249" s="21" t="inlineStr">
        <is>
          <t>Community development</t>
        </is>
      </c>
      <c r="B249" s="36">
        <f>SUMIFS(GF_Budget_Detail!$E$5:$E$295,GF_Budget_Detail!$A$5:$A$295,$J$233,GF_Budget_Detail!$D$5:$D$295,"Community development")</f>
        <v/>
      </c>
      <c r="C249" s="36">
        <f>SUMIFS(GF_Budget_Detail!$F$5:$F$295,GF_Budget_Detail!$A$5:$A$295,$J$233,GF_Budget_Detail!$D$5:$D$295,"Community development")</f>
        <v/>
      </c>
      <c r="D249" s="36">
        <f>SUMIFS(GF_Budget_Detail!$G$5:$G$295,GF_Budget_Detail!$A$5:$A$295,$J$233,GF_Budget_Detail!$D$5:$D$295,"Community development")</f>
        <v/>
      </c>
      <c r="E249" s="22">
        <f>C249-B249</f>
        <v/>
      </c>
      <c r="F249" s="22">
        <f>-(D249-C249)</f>
        <v/>
      </c>
      <c r="G249" s="43">
        <f>-(D249-B249)</f>
        <v/>
      </c>
      <c r="H249" s="33">
        <f>IFERROR(F249/ABS(C249),0)</f>
        <v/>
      </c>
      <c r="I249" s="44">
        <f>IF(AND(ABS(F249)&gt;=$L$2,ABS(H249)&gt;=$L$3),"Explain","")</f>
        <v/>
      </c>
      <c r="J249" s="2" t="n"/>
      <c r="K249" s="2" t="n"/>
      <c r="L249" s="2" t="n"/>
    </row>
    <row r="250">
      <c r="A250" s="21" t="inlineStr">
        <is>
          <t>Public safety - Police</t>
        </is>
      </c>
      <c r="B250" s="36">
        <f>SUMIFS(GF_Budget_Detail!$E$5:$E$295,GF_Budget_Detail!$A$5:$A$295,$J$233,GF_Budget_Detail!$D$5:$D$295,"Public safety - Police")</f>
        <v/>
      </c>
      <c r="C250" s="36">
        <f>SUMIFS(GF_Budget_Detail!$F$5:$F$295,GF_Budget_Detail!$A$5:$A$295,$J$233,GF_Budget_Detail!$D$5:$D$295,"Public safety - Police")</f>
        <v/>
      </c>
      <c r="D250" s="36">
        <f>SUMIFS(GF_Budget_Detail!$G$5:$G$295,GF_Budget_Detail!$A$5:$A$295,$J$233,GF_Budget_Detail!$D$5:$D$295,"Public safety - Police")</f>
        <v/>
      </c>
      <c r="E250" s="22">
        <f>C250-B250</f>
        <v/>
      </c>
      <c r="F250" s="22">
        <f>-(D250-C250)</f>
        <v/>
      </c>
      <c r="G250" s="43">
        <f>-(D250-B250)</f>
        <v/>
      </c>
      <c r="H250" s="33">
        <f>IFERROR(F250/ABS(C250),0)</f>
        <v/>
      </c>
      <c r="I250" s="44">
        <f>IF(AND(ABS(F250)&gt;=$L$2,ABS(H250)&gt;=$L$3),"Explain","")</f>
        <v/>
      </c>
      <c r="J250" s="2" t="n"/>
      <c r="K250" s="2" t="n"/>
      <c r="L250" s="2" t="n"/>
    </row>
    <row r="251">
      <c r="A251" s="21" t="inlineStr">
        <is>
          <t>Public safety - Fire</t>
        </is>
      </c>
      <c r="B251" s="36">
        <f>SUMIFS(GF_Budget_Detail!$E$5:$E$295,GF_Budget_Detail!$A$5:$A$295,$J$233,GF_Budget_Detail!$D$5:$D$295,"Public safety - Fire")</f>
        <v/>
      </c>
      <c r="C251" s="36">
        <f>SUMIFS(GF_Budget_Detail!$F$5:$F$295,GF_Budget_Detail!$A$5:$A$295,$J$233,GF_Budget_Detail!$D$5:$D$295,"Public safety - Fire")</f>
        <v/>
      </c>
      <c r="D251" s="36">
        <f>SUMIFS(GF_Budget_Detail!$G$5:$G$295,GF_Budget_Detail!$A$5:$A$295,$J$233,GF_Budget_Detail!$D$5:$D$295,"Public safety - Fire")</f>
        <v/>
      </c>
      <c r="E251" s="22">
        <f>C251-B251</f>
        <v/>
      </c>
      <c r="F251" s="22">
        <f>-(D251-C251)</f>
        <v/>
      </c>
      <c r="G251" s="43">
        <f>-(D251-B251)</f>
        <v/>
      </c>
      <c r="H251" s="33">
        <f>IFERROR(F251/ABS(C251),0)</f>
        <v/>
      </c>
      <c r="I251" s="44">
        <f>IF(AND(ABS(F251)&gt;=$L$2,ABS(H251)&gt;=$L$3),"Explain","")</f>
        <v/>
      </c>
      <c r="J251" s="2" t="n"/>
      <c r="K251" s="2" t="n"/>
      <c r="L251" s="2" t="n"/>
    </row>
    <row r="252">
      <c r="A252" s="21" t="inlineStr">
        <is>
          <t>Public safety (combined)</t>
        </is>
      </c>
      <c r="B252" s="36">
        <f>SUMIFS(GF_Budget_Detail!$E$5:$E$295,GF_Budget_Detail!$A$5:$A$295,$J$233,GF_Budget_Detail!$D$5:$D$295,"Public safety (combined)")</f>
        <v/>
      </c>
      <c r="C252" s="36">
        <f>SUMIFS(GF_Budget_Detail!$F$5:$F$295,GF_Budget_Detail!$A$5:$A$295,$J$233,GF_Budget_Detail!$D$5:$D$295,"Public safety (combined)")</f>
        <v/>
      </c>
      <c r="D252" s="36">
        <f>SUMIFS(GF_Budget_Detail!$G$5:$G$295,GF_Budget_Detail!$A$5:$A$295,$J$233,GF_Budget_Detail!$D$5:$D$295,"Public safety (combined)")</f>
        <v/>
      </c>
      <c r="E252" s="22">
        <f>C252-B252</f>
        <v/>
      </c>
      <c r="F252" s="22">
        <f>-(D252-C252)</f>
        <v/>
      </c>
      <c r="G252" s="43">
        <f>-(D252-B252)</f>
        <v/>
      </c>
      <c r="H252" s="33">
        <f>IFERROR(F252/ABS(C252),0)</f>
        <v/>
      </c>
      <c r="I252" s="44">
        <f>IF(AND(ABS(F252)&gt;=$L$2,ABS(H252)&gt;=$L$3),"Explain","")</f>
        <v/>
      </c>
      <c r="J252" s="2" t="n"/>
      <c r="K252" s="2" t="n"/>
      <c r="L252" s="2" t="n"/>
    </row>
    <row r="253">
      <c r="A253" s="21" t="inlineStr">
        <is>
          <t>Payment of sales tax to City of Richmond</t>
        </is>
      </c>
      <c r="B253" s="36">
        <f>SUMIFS(GF_Budget_Detail!$E$5:$E$295,GF_Budget_Detail!$A$5:$A$295,$J$233,GF_Budget_Detail!$D$5:$D$295,"Payment of sales tax to City of Richmond")</f>
        <v/>
      </c>
      <c r="C253" s="36">
        <f>SUMIFS(GF_Budget_Detail!$F$5:$F$295,GF_Budget_Detail!$A$5:$A$295,$J$233,GF_Budget_Detail!$D$5:$D$295,"Payment of sales tax to City of Richmond")</f>
        <v/>
      </c>
      <c r="D253" s="36">
        <f>SUMIFS(GF_Budget_Detail!$G$5:$G$295,GF_Budget_Detail!$A$5:$A$295,$J$233,GF_Budget_Detail!$D$5:$D$295,"Payment of sales tax to City of Richmond")</f>
        <v/>
      </c>
      <c r="E253" s="22">
        <f>C253-B253</f>
        <v/>
      </c>
      <c r="F253" s="22">
        <f>-(D253-C253)</f>
        <v/>
      </c>
      <c r="G253" s="43">
        <f>-(D253-B253)</f>
        <v/>
      </c>
      <c r="H253" s="33">
        <f>IFERROR(F253/ABS(C253),0)</f>
        <v/>
      </c>
      <c r="I253" s="44">
        <f>IF(AND(ABS(F253)&gt;=$L$2,ABS(H253)&gt;=$L$3),"Explain","")</f>
        <v/>
      </c>
      <c r="J253" s="2" t="n"/>
      <c r="K253" s="2" t="n"/>
      <c r="L253" s="2" t="n"/>
    </row>
    <row r="254">
      <c r="A254" s="21" t="inlineStr">
        <is>
          <t>Capital outlay</t>
        </is>
      </c>
      <c r="B254" s="36">
        <f>SUMIFS(GF_Budget_Detail!$E$5:$E$295,GF_Budget_Detail!$A$5:$A$295,$J$233,GF_Budget_Detail!$D$5:$D$295,"Capital outlay")</f>
        <v/>
      </c>
      <c r="C254" s="36">
        <f>SUMIFS(GF_Budget_Detail!$F$5:$F$295,GF_Budget_Detail!$A$5:$A$295,$J$233,GF_Budget_Detail!$D$5:$D$295,"Capital outlay")</f>
        <v/>
      </c>
      <c r="D254" s="36">
        <f>SUMIFS(GF_Budget_Detail!$G$5:$G$295,GF_Budget_Detail!$A$5:$A$295,$J$233,GF_Budget_Detail!$D$5:$D$295,"Capital outlay")</f>
        <v/>
      </c>
      <c r="E254" s="22">
        <f>C254-B254</f>
        <v/>
      </c>
      <c r="F254" s="22">
        <f>-(D254-C254)</f>
        <v/>
      </c>
      <c r="G254" s="43">
        <f>-(D254-B254)</f>
        <v/>
      </c>
      <c r="H254" s="33">
        <f>IFERROR(F254/ABS(C254),0)</f>
        <v/>
      </c>
      <c r="I254" s="44">
        <f>IF(AND(ABS(F254)&gt;=$L$2,ABS(H254)&gt;=$L$3),"Explain","")</f>
        <v/>
      </c>
      <c r="J254" s="2" t="n"/>
      <c r="K254" s="2" t="n"/>
      <c r="L254" s="2" t="n"/>
    </row>
    <row r="255">
      <c r="A255" s="21" t="inlineStr">
        <is>
          <t>Debt service - principal</t>
        </is>
      </c>
      <c r="B255" s="36">
        <f>SUMIFS(GF_Budget_Detail!$E$5:$E$295,GF_Budget_Detail!$A$5:$A$295,$J$233,GF_Budget_Detail!$D$5:$D$295,"Debt service - principal")</f>
        <v/>
      </c>
      <c r="C255" s="36">
        <f>SUMIFS(GF_Budget_Detail!$F$5:$F$295,GF_Budget_Detail!$A$5:$A$295,$J$233,GF_Budget_Detail!$D$5:$D$295,"Debt service - principal")</f>
        <v/>
      </c>
      <c r="D255" s="36">
        <f>SUMIFS(GF_Budget_Detail!$G$5:$G$295,GF_Budget_Detail!$A$5:$A$295,$J$233,GF_Budget_Detail!$D$5:$D$295,"Debt service - principal")</f>
        <v/>
      </c>
      <c r="E255" s="22">
        <f>C255-B255</f>
        <v/>
      </c>
      <c r="F255" s="22">
        <f>-(D255-C255)</f>
        <v/>
      </c>
      <c r="G255" s="43">
        <f>-(D255-B255)</f>
        <v/>
      </c>
      <c r="H255" s="33">
        <f>IFERROR(F255/ABS(C255),0)</f>
        <v/>
      </c>
      <c r="I255" s="44">
        <f>IF(AND(ABS(F255)&gt;=$L$2,ABS(H255)&gt;=$L$3),"Explain","")</f>
        <v/>
      </c>
      <c r="J255" s="2" t="n"/>
      <c r="K255" s="2" t="n"/>
      <c r="L255" s="2" t="n"/>
    </row>
    <row r="256">
      <c r="A256" s="21" t="inlineStr">
        <is>
          <t>Debt service - interest</t>
        </is>
      </c>
      <c r="B256" s="36">
        <f>SUMIFS(GF_Budget_Detail!$E$5:$E$295,GF_Budget_Detail!$A$5:$A$295,$J$233,GF_Budget_Detail!$D$5:$D$295,"Debt service - interest")</f>
        <v/>
      </c>
      <c r="C256" s="36">
        <f>SUMIFS(GF_Budget_Detail!$F$5:$F$295,GF_Budget_Detail!$A$5:$A$295,$J$233,GF_Budget_Detail!$D$5:$D$295,"Debt service - interest")</f>
        <v/>
      </c>
      <c r="D256" s="36">
        <f>SUMIFS(GF_Budget_Detail!$G$5:$G$295,GF_Budget_Detail!$A$5:$A$295,$J$233,GF_Budget_Detail!$D$5:$D$295,"Debt service - interest")</f>
        <v/>
      </c>
      <c r="E256" s="22">
        <f>C256-B256</f>
        <v/>
      </c>
      <c r="F256" s="22">
        <f>-(D256-C256)</f>
        <v/>
      </c>
      <c r="G256" s="43">
        <f>-(D256-B256)</f>
        <v/>
      </c>
      <c r="H256" s="33">
        <f>IFERROR(F256/ABS(C256),0)</f>
        <v/>
      </c>
      <c r="I256" s="44">
        <f>IF(AND(ABS(F256)&gt;=$L$2,ABS(H256)&gt;=$L$3),"Explain","")</f>
        <v/>
      </c>
      <c r="J256" s="2" t="n"/>
      <c r="K256" s="2" t="n"/>
      <c r="L256" s="2" t="n"/>
    </row>
    <row r="257">
      <c r="A257" s="21" t="inlineStr">
        <is>
          <t>Non-departmental (budget-report basis)</t>
        </is>
      </c>
      <c r="B257" s="36">
        <f>SUMIFS(GF_Budget_Detail!$E$5:$E$295,GF_Budget_Detail!$A$5:$A$295,$J$233,GF_Budget_Detail!$D$5:$D$295,"Non-departmental (budget-report basis)")</f>
        <v/>
      </c>
      <c r="C257" s="36">
        <f>SUMIFS(GF_Budget_Detail!$F$5:$F$295,GF_Budget_Detail!$A$5:$A$295,$J$233,GF_Budget_Detail!$D$5:$D$295,"Non-departmental (budget-report basis)")</f>
        <v/>
      </c>
      <c r="D257" s="36">
        <f>SUMIFS(GF_Budget_Detail!$G$5:$G$295,GF_Budget_Detail!$A$5:$A$295,$J$233,GF_Budget_Detail!$D$5:$D$295,"Non-departmental (budget-report basis)")</f>
        <v/>
      </c>
      <c r="E257" s="22">
        <f>C257-B257</f>
        <v/>
      </c>
      <c r="F257" s="22">
        <f>-(D257-C257)</f>
        <v/>
      </c>
      <c r="G257" s="43">
        <f>-(D257-B257)</f>
        <v/>
      </c>
      <c r="H257" s="33">
        <f>IFERROR(F257/ABS(C257),0)</f>
        <v/>
      </c>
      <c r="I257" s="44">
        <f>IF(AND(ABS(F257)&gt;=$L$2,ABS(H257)&gt;=$L$3),"Explain","")</f>
        <v/>
      </c>
      <c r="J257" s="2" t="n"/>
      <c r="K257" s="2" t="n"/>
      <c r="L257" s="2" t="n"/>
    </row>
    <row r="258">
      <c r="A258" s="21" t="inlineStr">
        <is>
          <t>Original budget not itemized by department</t>
        </is>
      </c>
      <c r="B258" s="36">
        <f>SUMIFS(GF_Budget_Detail!$E$5:$E$295,GF_Budget_Detail!$A$5:$A$295,$J$233,GF_Budget_Detail!$D$5:$D$295,"Original budget not itemized by department")</f>
        <v/>
      </c>
      <c r="C258" s="36">
        <f>SUMIFS(GF_Budget_Detail!$F$5:$F$295,GF_Budget_Detail!$A$5:$A$295,$J$233,GF_Budget_Detail!$D$5:$D$295,"Original budget not itemized by department")</f>
        <v/>
      </c>
      <c r="D258" s="36">
        <f>SUMIFS(GF_Budget_Detail!$G$5:$G$295,GF_Budget_Detail!$A$5:$A$295,$J$233,GF_Budget_Detail!$D$5:$D$295,"Original budget not itemized by department")</f>
        <v/>
      </c>
      <c r="E258" s="22">
        <f>C258-B258</f>
        <v/>
      </c>
      <c r="F258" s="22">
        <f>-(D258-C258)</f>
        <v/>
      </c>
      <c r="G258" s="43">
        <f>-(D258-B258)</f>
        <v/>
      </c>
      <c r="H258" s="33">
        <f>IFERROR(F258/ABS(C258),0)</f>
        <v/>
      </c>
      <c r="I258" s="44">
        <f>IF(AND(ABS(F258)&gt;=$L$2,ABS(H258)&gt;=$L$3),"Explain","")</f>
        <v/>
      </c>
      <c r="J258" s="2" t="n"/>
      <c r="K258" s="2" t="n"/>
      <c r="L258" s="2" t="n"/>
    </row>
    <row r="259">
      <c r="A259" s="12" t="inlineStr">
        <is>
          <t>Total expenditures</t>
        </is>
      </c>
      <c r="B259" s="24">
        <f>SUM(B246:B258)</f>
        <v/>
      </c>
      <c r="C259" s="24">
        <f>SUM(C246:C258)</f>
        <v/>
      </c>
      <c r="D259" s="24">
        <f>SUM(D246:D258)</f>
        <v/>
      </c>
      <c r="E259" s="24">
        <f>C259-B259</f>
        <v/>
      </c>
      <c r="F259" s="24">
        <f>-(D259-C259)</f>
        <v/>
      </c>
      <c r="G259" s="24">
        <f>-(D259-B259)</f>
        <v/>
      </c>
      <c r="H259" s="45">
        <f>IFERROR(F259/ABS(C259),0)</f>
        <v/>
      </c>
      <c r="I259" s="46">
        <f>IF(AND(ABS(F259)&gt;=$L$2,ABS(H259)&gt;=$L$3),"Explain","")</f>
        <v/>
      </c>
      <c r="J259" s="2" t="n"/>
      <c r="K259" s="2" t="n"/>
      <c r="L259" s="2" t="n"/>
    </row>
    <row r="260">
      <c r="A260" s="2" t="n"/>
      <c r="B260" s="2" t="n"/>
      <c r="C260" s="2" t="n"/>
      <c r="D260" s="2" t="n"/>
      <c r="E260" s="2" t="n"/>
      <c r="F260" s="2" t="n"/>
      <c r="G260" s="2" t="n"/>
      <c r="H260" s="2" t="n"/>
      <c r="I260" s="2" t="n"/>
      <c r="J260" s="2" t="n"/>
      <c r="K260" s="2" t="n"/>
      <c r="L260" s="2" t="n"/>
    </row>
    <row r="261">
      <c r="A261" s="21" t="inlineStr">
        <is>
          <t>Transfers in</t>
        </is>
      </c>
      <c r="B261" s="36">
        <f>SUMIFS(GF_Budget_Detail!$E$5:$E$295,GF_Budget_Detail!$A$5:$A$295,$J$233,GF_Budget_Detail!$D$5:$D$295,"Transfers in")</f>
        <v/>
      </c>
      <c r="C261" s="36">
        <f>SUMIFS(GF_Budget_Detail!$F$5:$F$295,GF_Budget_Detail!$A$5:$A$295,$J$233,GF_Budget_Detail!$D$5:$D$295,"Transfers in")</f>
        <v/>
      </c>
      <c r="D261" s="36">
        <f>SUMIFS(GF_Budget_Detail!$G$5:$G$295,GF_Budget_Detail!$A$5:$A$295,$J$233,GF_Budget_Detail!$D$5:$D$295,"Transfers in")</f>
        <v/>
      </c>
      <c r="E261" s="22">
        <f>C261-B261</f>
        <v/>
      </c>
      <c r="F261" s="22">
        <f>(D261-C261)</f>
        <v/>
      </c>
      <c r="G261" s="43">
        <f>(D261-B261)</f>
        <v/>
      </c>
      <c r="H261" s="33">
        <f>IFERROR(F261/ABS(C261),0)</f>
        <v/>
      </c>
      <c r="I261" s="44">
        <f>IF(AND(ABS(F261)&gt;=$L$2,ABS(H261)&gt;=$L$3),"Explain","")</f>
        <v/>
      </c>
      <c r="J261" s="2" t="n"/>
      <c r="K261" s="2" t="n"/>
      <c r="L261" s="2" t="n"/>
    </row>
    <row r="262">
      <c r="A262" s="21" t="inlineStr">
        <is>
          <t>Transfers out</t>
        </is>
      </c>
      <c r="B262" s="36">
        <f>SUMIFS(GF_Budget_Detail!$E$5:$E$295,GF_Budget_Detail!$A$5:$A$295,$J$233,GF_Budget_Detail!$D$5:$D$295,"Transfers out")</f>
        <v/>
      </c>
      <c r="C262" s="36">
        <f>SUMIFS(GF_Budget_Detail!$F$5:$F$295,GF_Budget_Detail!$A$5:$A$295,$J$233,GF_Budget_Detail!$D$5:$D$295,"Transfers out")</f>
        <v/>
      </c>
      <c r="D262" s="36">
        <f>SUMIFS(GF_Budget_Detail!$G$5:$G$295,GF_Budget_Detail!$A$5:$A$295,$J$233,GF_Budget_Detail!$D$5:$D$295,"Transfers out")</f>
        <v/>
      </c>
      <c r="E262" s="22">
        <f>C262-B262</f>
        <v/>
      </c>
      <c r="F262" s="22">
        <f>(D262-C262)</f>
        <v/>
      </c>
      <c r="G262" s="43">
        <f>(D262-B262)</f>
        <v/>
      </c>
      <c r="H262" s="33">
        <f>IFERROR(F262/ABS(C262),0)</f>
        <v/>
      </c>
      <c r="I262" s="44">
        <f>IF(AND(ABS(F262)&gt;=$L$2,ABS(H262)&gt;=$L$3),"Explain","")</f>
        <v/>
      </c>
      <c r="J262" s="2" t="n"/>
      <c r="K262" s="2" t="n"/>
      <c r="L262" s="2" t="n"/>
    </row>
    <row r="263">
      <c r="A263" s="21" t="inlineStr">
        <is>
          <t>Debt / lease financing proceeds</t>
        </is>
      </c>
      <c r="B263" s="36">
        <f>SUMIFS(GF_Budget_Detail!$E$5:$E$295,GF_Budget_Detail!$A$5:$A$295,$J$233,GF_Budget_Detail!$D$5:$D$295,"Debt / lease financing proceeds")</f>
        <v/>
      </c>
      <c r="C263" s="36">
        <f>SUMIFS(GF_Budget_Detail!$F$5:$F$295,GF_Budget_Detail!$A$5:$A$295,$J$233,GF_Budget_Detail!$D$5:$D$295,"Debt / lease financing proceeds")</f>
        <v/>
      </c>
      <c r="D263" s="36">
        <f>SUMIFS(GF_Budget_Detail!$G$5:$G$295,GF_Budget_Detail!$A$5:$A$295,$J$233,GF_Budget_Detail!$D$5:$D$295,"Debt / lease financing proceeds")</f>
        <v/>
      </c>
      <c r="E263" s="22">
        <f>C263-B263</f>
        <v/>
      </c>
      <c r="F263" s="22">
        <f>(D263-C263)</f>
        <v/>
      </c>
      <c r="G263" s="43">
        <f>(D263-B263)</f>
        <v/>
      </c>
      <c r="H263" s="33">
        <f>IFERROR(F263/ABS(C263),0)</f>
        <v/>
      </c>
      <c r="I263" s="44">
        <f>IF(AND(ABS(F263)&gt;=$L$2,ABS(H263)&gt;=$L$3),"Explain","")</f>
        <v/>
      </c>
      <c r="J263" s="2" t="n"/>
      <c r="K263" s="2" t="n"/>
      <c r="L263" s="2" t="n"/>
    </row>
    <row r="264">
      <c r="A264" s="21" t="inlineStr">
        <is>
          <t>Proceeds from sale of capital assets</t>
        </is>
      </c>
      <c r="B264" s="36">
        <f>SUMIFS(GF_Budget_Detail!$E$5:$E$295,GF_Budget_Detail!$A$5:$A$295,$J$233,GF_Budget_Detail!$D$5:$D$295,"Proceeds from sale of capital assets")</f>
        <v/>
      </c>
      <c r="C264" s="36">
        <f>SUMIFS(GF_Budget_Detail!$F$5:$F$295,GF_Budget_Detail!$A$5:$A$295,$J$233,GF_Budget_Detail!$D$5:$D$295,"Proceeds from sale of capital assets")</f>
        <v/>
      </c>
      <c r="D264" s="36">
        <f>SUMIFS(GF_Budget_Detail!$G$5:$G$295,GF_Budget_Detail!$A$5:$A$295,$J$233,GF_Budget_Detail!$D$5:$D$295,"Proceeds from sale of capital assets")</f>
        <v/>
      </c>
      <c r="E264" s="22">
        <f>C264-B264</f>
        <v/>
      </c>
      <c r="F264" s="22">
        <f>(D264-C264)</f>
        <v/>
      </c>
      <c r="G264" s="43">
        <f>(D264-B264)</f>
        <v/>
      </c>
      <c r="H264" s="33">
        <f>IFERROR(F264/ABS(C264),0)</f>
        <v/>
      </c>
      <c r="I264" s="44">
        <f>IF(AND(ABS(F264)&gt;=$L$2,ABS(H264)&gt;=$L$3),"Explain","")</f>
        <v/>
      </c>
      <c r="J264" s="2" t="n"/>
      <c r="K264" s="2" t="n"/>
      <c r="L264" s="2" t="n"/>
    </row>
    <row r="265">
      <c r="A265" s="21" t="inlineStr">
        <is>
          <t>Special items</t>
        </is>
      </c>
      <c r="B265" s="36">
        <f>SUMIFS(GF_Budget_Detail!$E$5:$E$295,GF_Budget_Detail!$A$5:$A$295,$J$233,GF_Budget_Detail!$D$5:$D$295,"Special items")</f>
        <v/>
      </c>
      <c r="C265" s="36">
        <f>SUMIFS(GF_Budget_Detail!$F$5:$F$295,GF_Budget_Detail!$A$5:$A$295,$J$233,GF_Budget_Detail!$D$5:$D$295,"Special items")</f>
        <v/>
      </c>
      <c r="D265" s="36">
        <f>SUMIFS(GF_Budget_Detail!$G$5:$G$295,GF_Budget_Detail!$A$5:$A$295,$J$233,GF_Budget_Detail!$D$5:$D$295,"Special items")</f>
        <v/>
      </c>
      <c r="E265" s="22">
        <f>C265-B265</f>
        <v/>
      </c>
      <c r="F265" s="22">
        <f>(D265-C265)</f>
        <v/>
      </c>
      <c r="G265" s="43">
        <f>(D265-B265)</f>
        <v/>
      </c>
      <c r="H265" s="33">
        <f>IFERROR(F265/ABS(C265),0)</f>
        <v/>
      </c>
      <c r="I265" s="44">
        <f>IF(AND(ABS(F265)&gt;=$L$2,ABS(H265)&gt;=$L$3),"Explain","")</f>
        <v/>
      </c>
      <c r="J265" s="2" t="n"/>
      <c r="K265" s="2" t="n"/>
      <c r="L265" s="2" t="n"/>
    </row>
    <row r="266">
      <c r="A266" s="12" t="inlineStr">
        <is>
          <t>Total other financing sources (uses) and special items</t>
        </is>
      </c>
      <c r="B266" s="24">
        <f>SUM(B261:B265)</f>
        <v/>
      </c>
      <c r="C266" s="24">
        <f>SUM(C261:C265)</f>
        <v/>
      </c>
      <c r="D266" s="24">
        <f>SUM(D261:D265)</f>
        <v/>
      </c>
      <c r="E266" s="24">
        <f>C266-B266</f>
        <v/>
      </c>
      <c r="F266" s="24">
        <f>(D266-C266)</f>
        <v/>
      </c>
      <c r="G266" s="24">
        <f>(D266-B266)</f>
        <v/>
      </c>
      <c r="H266" s="45">
        <f>IFERROR(F266/ABS(C266),0)</f>
        <v/>
      </c>
      <c r="I266" s="46">
        <f>IF(AND(ABS(F266)&gt;=$L$2,ABS(H266)&gt;=$L$3),"Explain","")</f>
        <v/>
      </c>
      <c r="J266" s="2" t="n"/>
      <c r="K266" s="2" t="n"/>
      <c r="L266" s="2" t="n"/>
    </row>
    <row r="267">
      <c r="A267" s="2" t="n"/>
      <c r="B267" s="2" t="n"/>
      <c r="C267" s="2" t="n"/>
      <c r="D267" s="2" t="n"/>
      <c r="E267" s="2" t="n"/>
      <c r="F267" s="2" t="n"/>
      <c r="G267" s="2" t="n"/>
      <c r="H267" s="2" t="n"/>
      <c r="I267" s="2" t="n"/>
      <c r="J267" s="2" t="n"/>
      <c r="K267" s="2" t="n"/>
      <c r="L267" s="2" t="n"/>
    </row>
    <row r="268">
      <c r="A268" s="12" t="inlineStr">
        <is>
          <t>Net change in fund balance</t>
        </is>
      </c>
      <c r="B268" s="31">
        <f>B244-B259+B266</f>
        <v/>
      </c>
      <c r="C268" s="31">
        <f>C244-C259+C266</f>
        <v/>
      </c>
      <c r="D268" s="31">
        <f>D244-D259+D266</f>
        <v/>
      </c>
      <c r="E268" s="31">
        <f>C268-B268</f>
        <v/>
      </c>
      <c r="F268" s="31">
        <f>D268-C268</f>
        <v/>
      </c>
      <c r="G268" s="31">
        <f>D268-B268</f>
        <v/>
      </c>
      <c r="H268" s="2" t="n"/>
      <c r="I268" s="2" t="n"/>
      <c r="J268" s="2" t="n"/>
      <c r="K268" s="2" t="n"/>
      <c r="L268" s="2" t="n"/>
    </row>
    <row r="269">
      <c r="A269" s="2" t="n"/>
      <c r="B269" s="2" t="n"/>
      <c r="C269" s="2" t="n"/>
      <c r="D269" s="2" t="n"/>
      <c r="E269" s="2" t="n"/>
      <c r="F269" s="2" t="n"/>
      <c r="G269" s="2" t="n"/>
      <c r="H269" s="2" t="n"/>
      <c r="I269" s="2" t="n"/>
      <c r="J269" s="2" t="n"/>
      <c r="K269" s="2" t="n"/>
      <c r="L269" s="2" t="n"/>
    </row>
    <row r="270">
      <c r="A270" s="2" t="n"/>
      <c r="B270" s="2" t="n"/>
      <c r="C270" s="2" t="n"/>
      <c r="D270" s="2" t="n"/>
      <c r="E270" s="2" t="n"/>
      <c r="F270" s="2" t="n"/>
      <c r="G270" s="2" t="n"/>
      <c r="H270" s="2" t="n"/>
      <c r="I270" s="2" t="n"/>
      <c r="J270" s="2" t="n"/>
      <c r="K270" s="2" t="n"/>
      <c r="L270" s="2" t="n"/>
    </row>
    <row r="271">
      <c r="A271" s="16" t="inlineStr">
        <is>
          <t>FY2020-21 (year ended June 30, 2021)  -  Budgetary comparison schedule, General Fund  -  GAAP (modified accrual) budgetary basis</t>
        </is>
      </c>
      <c r="B271" s="39" t="n"/>
      <c r="C271" s="39" t="n"/>
      <c r="D271" s="39" t="n"/>
      <c r="E271" s="39" t="n"/>
      <c r="F271" s="39" t="n"/>
      <c r="G271" s="39" t="n"/>
      <c r="H271" s="39" t="n"/>
      <c r="I271" s="39" t="n"/>
      <c r="J271" s="40" t="n">
        <v>2021</v>
      </c>
      <c r="K271" s="2" t="n"/>
      <c r="L271" s="2" t="n"/>
    </row>
    <row r="272" ht="54" customHeight="1">
      <c r="A272" s="41" t="inlineStr">
        <is>
          <t>Category</t>
        </is>
      </c>
      <c r="B272" s="41" t="inlineStr">
        <is>
          <t>Budgeted amounts - Original</t>
        </is>
      </c>
      <c r="C272" s="41" t="inlineStr">
        <is>
          <t>Budgeted amounts - Final</t>
        </is>
      </c>
      <c r="D272" s="41" t="inlineStr">
        <is>
          <t>Actual amounts (budgetary basis)</t>
        </is>
      </c>
      <c r="E272" s="41" t="inlineStr">
        <is>
          <t>Variance: Original to Final budget, increase (decrease)</t>
        </is>
      </c>
      <c r="F272" s="41" t="inlineStr">
        <is>
          <t>Variance with Final budget, positive (negative)</t>
        </is>
      </c>
      <c r="G272" s="42" t="inlineStr">
        <is>
          <t>Variance with Original budget, positive (negative) [supplementary]</t>
        </is>
      </c>
      <c r="H272" s="41" t="inlineStr">
        <is>
          <t>Variance with Final budget %</t>
        </is>
      </c>
      <c r="I272" s="41" t="inlineStr">
        <is>
          <t>Significant variance? (GASB 103 note candidate)</t>
        </is>
      </c>
      <c r="J272" s="2" t="n"/>
      <c r="K272" s="2" t="n"/>
      <c r="L272" s="2" t="n"/>
    </row>
    <row r="273">
      <c r="A273" s="21" t="inlineStr">
        <is>
          <t>Property taxes</t>
        </is>
      </c>
      <c r="B273" s="36">
        <f>SUMIFS(GF_Budget_Detail!$E$5:$E$295,GF_Budget_Detail!$A$5:$A$295,$J$271,GF_Budget_Detail!$D$5:$D$295,"Property taxes")</f>
        <v/>
      </c>
      <c r="C273" s="36">
        <f>SUMIFS(GF_Budget_Detail!$F$5:$F$295,GF_Budget_Detail!$A$5:$A$295,$J$271,GF_Budget_Detail!$D$5:$D$295,"Property taxes")</f>
        <v/>
      </c>
      <c r="D273" s="36">
        <f>SUMIFS(GF_Budget_Detail!$G$5:$G$295,GF_Budget_Detail!$A$5:$A$295,$J$271,GF_Budget_Detail!$D$5:$D$295,"Property taxes")</f>
        <v/>
      </c>
      <c r="E273" s="22">
        <f>C273-B273</f>
        <v/>
      </c>
      <c r="F273" s="22">
        <f>(D273-C273)</f>
        <v/>
      </c>
      <c r="G273" s="43">
        <f>(D273-B273)</f>
        <v/>
      </c>
      <c r="H273" s="33">
        <f>IFERROR(F273/ABS(C273),0)</f>
        <v/>
      </c>
      <c r="I273" s="44">
        <f>IF(AND(ABS(F273)&gt;=$L$2,ABS(H273)&gt;=$L$3),"Explain","")</f>
        <v/>
      </c>
      <c r="J273" s="2" t="n"/>
      <c r="K273" s="2" t="n"/>
      <c r="L273" s="2" t="n"/>
    </row>
    <row r="274">
      <c r="A274" s="21" t="inlineStr">
        <is>
          <t>Taxes other than property</t>
        </is>
      </c>
      <c r="B274" s="36">
        <f>SUMIFS(GF_Budget_Detail!$E$5:$E$295,GF_Budget_Detail!$A$5:$A$295,$J$271,GF_Budget_Detail!$D$5:$D$295,"Taxes other than property")</f>
        <v/>
      </c>
      <c r="C274" s="36">
        <f>SUMIFS(GF_Budget_Detail!$F$5:$F$295,GF_Budget_Detail!$A$5:$A$295,$J$271,GF_Budget_Detail!$D$5:$D$295,"Taxes other than property")</f>
        <v/>
      </c>
      <c r="D274" s="36">
        <f>SUMIFS(GF_Budget_Detail!$G$5:$G$295,GF_Budget_Detail!$A$5:$A$295,$J$271,GF_Budget_Detail!$D$5:$D$295,"Taxes other than property")</f>
        <v/>
      </c>
      <c r="E274" s="22">
        <f>C274-B274</f>
        <v/>
      </c>
      <c r="F274" s="22">
        <f>(D274-C274)</f>
        <v/>
      </c>
      <c r="G274" s="43">
        <f>(D274-B274)</f>
        <v/>
      </c>
      <c r="H274" s="33">
        <f>IFERROR(F274/ABS(C274),0)</f>
        <v/>
      </c>
      <c r="I274" s="44">
        <f>IF(AND(ABS(F274)&gt;=$L$2,ABS(H274)&gt;=$L$3),"Explain","")</f>
        <v/>
      </c>
      <c r="J274" s="2" t="n"/>
      <c r="K274" s="2" t="n"/>
      <c r="L274" s="2" t="n"/>
    </row>
    <row r="275">
      <c r="A275" s="21" t="inlineStr">
        <is>
          <t>Taxes and assessments (combined)</t>
        </is>
      </c>
      <c r="B275" s="36">
        <f>SUMIFS(GF_Budget_Detail!$E$5:$E$295,GF_Budget_Detail!$A$5:$A$295,$J$271,GF_Budget_Detail!$D$5:$D$295,"Taxes and assessments (combined)")</f>
        <v/>
      </c>
      <c r="C275" s="36">
        <f>SUMIFS(GF_Budget_Detail!$F$5:$F$295,GF_Budget_Detail!$A$5:$A$295,$J$271,GF_Budget_Detail!$D$5:$D$295,"Taxes and assessments (combined)")</f>
        <v/>
      </c>
      <c r="D275" s="36">
        <f>SUMIFS(GF_Budget_Detail!$G$5:$G$295,GF_Budget_Detail!$A$5:$A$295,$J$271,GF_Budget_Detail!$D$5:$D$295,"Taxes and assessments (combined)")</f>
        <v/>
      </c>
      <c r="E275" s="22">
        <f>C275-B275</f>
        <v/>
      </c>
      <c r="F275" s="22">
        <f>(D275-C275)</f>
        <v/>
      </c>
      <c r="G275" s="43">
        <f>(D275-B275)</f>
        <v/>
      </c>
      <c r="H275" s="33">
        <f>IFERROR(F275/ABS(C275),0)</f>
        <v/>
      </c>
      <c r="I275" s="44">
        <f>IF(AND(ABS(F275)&gt;=$L$2,ABS(H275)&gt;=$L$3),"Explain","")</f>
        <v/>
      </c>
      <c r="J275" s="2" t="n"/>
      <c r="K275" s="2" t="n"/>
      <c r="L275" s="2" t="n"/>
    </row>
    <row r="276">
      <c r="A276" s="21" t="inlineStr">
        <is>
          <t>Licenses and permits</t>
        </is>
      </c>
      <c r="B276" s="36">
        <f>SUMIFS(GF_Budget_Detail!$E$5:$E$295,GF_Budget_Detail!$A$5:$A$295,$J$271,GF_Budget_Detail!$D$5:$D$295,"Licenses and permits")</f>
        <v/>
      </c>
      <c r="C276" s="36">
        <f>SUMIFS(GF_Budget_Detail!$F$5:$F$295,GF_Budget_Detail!$A$5:$A$295,$J$271,GF_Budget_Detail!$D$5:$D$295,"Licenses and permits")</f>
        <v/>
      </c>
      <c r="D276" s="36">
        <f>SUMIFS(GF_Budget_Detail!$G$5:$G$295,GF_Budget_Detail!$A$5:$A$295,$J$271,GF_Budget_Detail!$D$5:$D$295,"Licenses and permits")</f>
        <v/>
      </c>
      <c r="E276" s="22">
        <f>C276-B276</f>
        <v/>
      </c>
      <c r="F276" s="22">
        <f>(D276-C276)</f>
        <v/>
      </c>
      <c r="G276" s="43">
        <f>(D276-B276)</f>
        <v/>
      </c>
      <c r="H276" s="33">
        <f>IFERROR(F276/ABS(C276),0)</f>
        <v/>
      </c>
      <c r="I276" s="44">
        <f>IF(AND(ABS(F276)&gt;=$L$2,ABS(H276)&gt;=$L$3),"Explain","")</f>
        <v/>
      </c>
      <c r="J276" s="2" t="n"/>
      <c r="K276" s="2" t="n"/>
      <c r="L276" s="2" t="n"/>
    </row>
    <row r="277">
      <c r="A277" s="21" t="inlineStr">
        <is>
          <t>Fines and forfeitures</t>
        </is>
      </c>
      <c r="B277" s="36">
        <f>SUMIFS(GF_Budget_Detail!$E$5:$E$295,GF_Budget_Detail!$A$5:$A$295,$J$271,GF_Budget_Detail!$D$5:$D$295,"Fines and forfeitures")</f>
        <v/>
      </c>
      <c r="C277" s="36">
        <f>SUMIFS(GF_Budget_Detail!$F$5:$F$295,GF_Budget_Detail!$A$5:$A$295,$J$271,GF_Budget_Detail!$D$5:$D$295,"Fines and forfeitures")</f>
        <v/>
      </c>
      <c r="D277" s="36">
        <f>SUMIFS(GF_Budget_Detail!$G$5:$G$295,GF_Budget_Detail!$A$5:$A$295,$J$271,GF_Budget_Detail!$D$5:$D$295,"Fines and forfeitures")</f>
        <v/>
      </c>
      <c r="E277" s="22">
        <f>C277-B277</f>
        <v/>
      </c>
      <c r="F277" s="22">
        <f>(D277-C277)</f>
        <v/>
      </c>
      <c r="G277" s="43">
        <f>(D277-B277)</f>
        <v/>
      </c>
      <c r="H277" s="33">
        <f>IFERROR(F277/ABS(C277),0)</f>
        <v/>
      </c>
      <c r="I277" s="44">
        <f>IF(AND(ABS(F277)&gt;=$L$2,ABS(H277)&gt;=$L$3),"Explain","")</f>
        <v/>
      </c>
      <c r="J277" s="2" t="n"/>
      <c r="K277" s="2" t="n"/>
      <c r="L277" s="2" t="n"/>
    </row>
    <row r="278">
      <c r="A278" s="21" t="inlineStr">
        <is>
          <t>Use of money and property</t>
        </is>
      </c>
      <c r="B278" s="36">
        <f>SUMIFS(GF_Budget_Detail!$E$5:$E$295,GF_Budget_Detail!$A$5:$A$295,$J$271,GF_Budget_Detail!$D$5:$D$295,"Use of money and property")</f>
        <v/>
      </c>
      <c r="C278" s="36">
        <f>SUMIFS(GF_Budget_Detail!$F$5:$F$295,GF_Budget_Detail!$A$5:$A$295,$J$271,GF_Budget_Detail!$D$5:$D$295,"Use of money and property")</f>
        <v/>
      </c>
      <c r="D278" s="36">
        <f>SUMIFS(GF_Budget_Detail!$G$5:$G$295,GF_Budget_Detail!$A$5:$A$295,$J$271,GF_Budget_Detail!$D$5:$D$295,"Use of money and property")</f>
        <v/>
      </c>
      <c r="E278" s="22">
        <f>C278-B278</f>
        <v/>
      </c>
      <c r="F278" s="22">
        <f>(D278-C278)</f>
        <v/>
      </c>
      <c r="G278" s="43">
        <f>(D278-B278)</f>
        <v/>
      </c>
      <c r="H278" s="33">
        <f>IFERROR(F278/ABS(C278),0)</f>
        <v/>
      </c>
      <c r="I278" s="44">
        <f>IF(AND(ABS(F278)&gt;=$L$2,ABS(H278)&gt;=$L$3),"Explain","")</f>
        <v/>
      </c>
      <c r="J278" s="2" t="n"/>
      <c r="K278" s="2" t="n"/>
      <c r="L278" s="2" t="n"/>
    </row>
    <row r="279">
      <c r="A279" s="21" t="inlineStr">
        <is>
          <t>Intergovernmental</t>
        </is>
      </c>
      <c r="B279" s="36">
        <f>SUMIFS(GF_Budget_Detail!$E$5:$E$295,GF_Budget_Detail!$A$5:$A$295,$J$271,GF_Budget_Detail!$D$5:$D$295,"Intergovernmental")</f>
        <v/>
      </c>
      <c r="C279" s="36">
        <f>SUMIFS(GF_Budget_Detail!$F$5:$F$295,GF_Budget_Detail!$A$5:$A$295,$J$271,GF_Budget_Detail!$D$5:$D$295,"Intergovernmental")</f>
        <v/>
      </c>
      <c r="D279" s="36">
        <f>SUMIFS(GF_Budget_Detail!$G$5:$G$295,GF_Budget_Detail!$A$5:$A$295,$J$271,GF_Budget_Detail!$D$5:$D$295,"Intergovernmental")</f>
        <v/>
      </c>
      <c r="E279" s="22">
        <f>C279-B279</f>
        <v/>
      </c>
      <c r="F279" s="22">
        <f>(D279-C279)</f>
        <v/>
      </c>
      <c r="G279" s="43">
        <f>(D279-B279)</f>
        <v/>
      </c>
      <c r="H279" s="33">
        <f>IFERROR(F279/ABS(C279),0)</f>
        <v/>
      </c>
      <c r="I279" s="44">
        <f>IF(AND(ABS(F279)&gt;=$L$2,ABS(H279)&gt;=$L$3),"Explain","")</f>
        <v/>
      </c>
      <c r="J279" s="2" t="n"/>
      <c r="K279" s="2" t="n"/>
      <c r="L279" s="2" t="n"/>
    </row>
    <row r="280">
      <c r="A280" s="21" t="inlineStr">
        <is>
          <t>Charges for services</t>
        </is>
      </c>
      <c r="B280" s="36">
        <f>SUMIFS(GF_Budget_Detail!$E$5:$E$295,GF_Budget_Detail!$A$5:$A$295,$J$271,GF_Budget_Detail!$D$5:$D$295,"Charges for services")</f>
        <v/>
      </c>
      <c r="C280" s="36">
        <f>SUMIFS(GF_Budget_Detail!$F$5:$F$295,GF_Budget_Detail!$A$5:$A$295,$J$271,GF_Budget_Detail!$D$5:$D$295,"Charges for services")</f>
        <v/>
      </c>
      <c r="D280" s="36">
        <f>SUMIFS(GF_Budget_Detail!$G$5:$G$295,GF_Budget_Detail!$A$5:$A$295,$J$271,GF_Budget_Detail!$D$5:$D$295,"Charges for services")</f>
        <v/>
      </c>
      <c r="E280" s="22">
        <f>C280-B280</f>
        <v/>
      </c>
      <c r="F280" s="22">
        <f>(D280-C280)</f>
        <v/>
      </c>
      <c r="G280" s="43">
        <f>(D280-B280)</f>
        <v/>
      </c>
      <c r="H280" s="33">
        <f>IFERROR(F280/ABS(C280),0)</f>
        <v/>
      </c>
      <c r="I280" s="44">
        <f>IF(AND(ABS(F280)&gt;=$L$2,ABS(H280)&gt;=$L$3),"Explain","")</f>
        <v/>
      </c>
      <c r="J280" s="2" t="n"/>
      <c r="K280" s="2" t="n"/>
      <c r="L280" s="2" t="n"/>
    </row>
    <row r="281">
      <c r="A281" s="21" t="inlineStr">
        <is>
          <t>Other revenues</t>
        </is>
      </c>
      <c r="B281" s="36">
        <f>SUMIFS(GF_Budget_Detail!$E$5:$E$295,GF_Budget_Detail!$A$5:$A$295,$J$271,GF_Budget_Detail!$D$5:$D$295,"Other revenues")</f>
        <v/>
      </c>
      <c r="C281" s="36">
        <f>SUMIFS(GF_Budget_Detail!$F$5:$F$295,GF_Budget_Detail!$A$5:$A$295,$J$271,GF_Budget_Detail!$D$5:$D$295,"Other revenues")</f>
        <v/>
      </c>
      <c r="D281" s="36">
        <f>SUMIFS(GF_Budget_Detail!$G$5:$G$295,GF_Budget_Detail!$A$5:$A$295,$J$271,GF_Budget_Detail!$D$5:$D$295,"Other revenues")</f>
        <v/>
      </c>
      <c r="E281" s="22">
        <f>C281-B281</f>
        <v/>
      </c>
      <c r="F281" s="22">
        <f>(D281-C281)</f>
        <v/>
      </c>
      <c r="G281" s="43">
        <f>(D281-B281)</f>
        <v/>
      </c>
      <c r="H281" s="33">
        <f>IFERROR(F281/ABS(C281),0)</f>
        <v/>
      </c>
      <c r="I281" s="44">
        <f>IF(AND(ABS(F281)&gt;=$L$2,ABS(H281)&gt;=$L$3),"Explain","")</f>
        <v/>
      </c>
      <c r="J281" s="2" t="n"/>
      <c r="K281" s="2" t="n"/>
      <c r="L281" s="2" t="n"/>
    </row>
    <row r="282">
      <c r="A282" s="12" t="inlineStr">
        <is>
          <t>Total revenues</t>
        </is>
      </c>
      <c r="B282" s="24">
        <f>SUM(B273:B281)</f>
        <v/>
      </c>
      <c r="C282" s="24">
        <f>SUM(C273:C281)</f>
        <v/>
      </c>
      <c r="D282" s="24">
        <f>SUM(D273:D281)</f>
        <v/>
      </c>
      <c r="E282" s="24">
        <f>C282-B282</f>
        <v/>
      </c>
      <c r="F282" s="24">
        <f>(D282-C282)</f>
        <v/>
      </c>
      <c r="G282" s="24">
        <f>(D282-B282)</f>
        <v/>
      </c>
      <c r="H282" s="45">
        <f>IFERROR(F282/ABS(C282),0)</f>
        <v/>
      </c>
      <c r="I282" s="46">
        <f>IF(AND(ABS(F282)&gt;=$L$2,ABS(H282)&gt;=$L$3),"Explain","")</f>
        <v/>
      </c>
      <c r="J282" s="2" t="n"/>
      <c r="K282" s="2" t="n"/>
      <c r="L282" s="2" t="n"/>
    </row>
    <row r="283">
      <c r="A283" s="2" t="n"/>
      <c r="B283" s="2" t="n"/>
      <c r="C283" s="2" t="n"/>
      <c r="D283" s="2" t="n"/>
      <c r="E283" s="2" t="n"/>
      <c r="F283" s="2" t="n"/>
      <c r="G283" s="2" t="n"/>
      <c r="H283" s="2" t="n"/>
      <c r="I283" s="2" t="n"/>
      <c r="J283" s="2" t="n"/>
      <c r="K283" s="2" t="n"/>
      <c r="L283" s="2" t="n"/>
    </row>
    <row r="284">
      <c r="A284" s="21" t="inlineStr">
        <is>
          <t>General government</t>
        </is>
      </c>
      <c r="B284" s="36">
        <f>SUMIFS(GF_Budget_Detail!$E$5:$E$295,GF_Budget_Detail!$A$5:$A$295,$J$271,GF_Budget_Detail!$D$5:$D$295,"General government")</f>
        <v/>
      </c>
      <c r="C284" s="36">
        <f>SUMIFS(GF_Budget_Detail!$F$5:$F$295,GF_Budget_Detail!$A$5:$A$295,$J$271,GF_Budget_Detail!$D$5:$D$295,"General government")</f>
        <v/>
      </c>
      <c r="D284" s="36">
        <f>SUMIFS(GF_Budget_Detail!$G$5:$G$295,GF_Budget_Detail!$A$5:$A$295,$J$271,GF_Budget_Detail!$D$5:$D$295,"General government")</f>
        <v/>
      </c>
      <c r="E284" s="22">
        <f>C284-B284</f>
        <v/>
      </c>
      <c r="F284" s="22">
        <f>-(D284-C284)</f>
        <v/>
      </c>
      <c r="G284" s="43">
        <f>-(D284-B284)</f>
        <v/>
      </c>
      <c r="H284" s="33">
        <f>IFERROR(F284/ABS(C284),0)</f>
        <v/>
      </c>
      <c r="I284" s="44">
        <f>IF(AND(ABS(F284)&gt;=$L$2,ABS(H284)&gt;=$L$3),"Explain","")</f>
        <v/>
      </c>
      <c r="J284" s="2" t="n"/>
      <c r="K284" s="2" t="n"/>
      <c r="L284" s="2" t="n"/>
    </row>
    <row r="285">
      <c r="A285" s="21" t="inlineStr">
        <is>
          <t>Public works</t>
        </is>
      </c>
      <c r="B285" s="36">
        <f>SUMIFS(GF_Budget_Detail!$E$5:$E$295,GF_Budget_Detail!$A$5:$A$295,$J$271,GF_Budget_Detail!$D$5:$D$295,"Public works")</f>
        <v/>
      </c>
      <c r="C285" s="36">
        <f>SUMIFS(GF_Budget_Detail!$F$5:$F$295,GF_Budget_Detail!$A$5:$A$295,$J$271,GF_Budget_Detail!$D$5:$D$295,"Public works")</f>
        <v/>
      </c>
      <c r="D285" s="36">
        <f>SUMIFS(GF_Budget_Detail!$G$5:$G$295,GF_Budget_Detail!$A$5:$A$295,$J$271,GF_Budget_Detail!$D$5:$D$295,"Public works")</f>
        <v/>
      </c>
      <c r="E285" s="22">
        <f>C285-B285</f>
        <v/>
      </c>
      <c r="F285" s="22">
        <f>-(D285-C285)</f>
        <v/>
      </c>
      <c r="G285" s="43">
        <f>-(D285-B285)</f>
        <v/>
      </c>
      <c r="H285" s="33">
        <f>IFERROR(F285/ABS(C285),0)</f>
        <v/>
      </c>
      <c r="I285" s="44">
        <f>IF(AND(ABS(F285)&gt;=$L$2,ABS(H285)&gt;=$L$3),"Explain","")</f>
        <v/>
      </c>
      <c r="J285" s="2" t="n"/>
      <c r="K285" s="2" t="n"/>
      <c r="L285" s="2" t="n"/>
    </row>
    <row r="286">
      <c r="A286" s="21" t="inlineStr">
        <is>
          <t>Recreation</t>
        </is>
      </c>
      <c r="B286" s="36">
        <f>SUMIFS(GF_Budget_Detail!$E$5:$E$295,GF_Budget_Detail!$A$5:$A$295,$J$271,GF_Budget_Detail!$D$5:$D$295,"Recreation")</f>
        <v/>
      </c>
      <c r="C286" s="36">
        <f>SUMIFS(GF_Budget_Detail!$F$5:$F$295,GF_Budget_Detail!$A$5:$A$295,$J$271,GF_Budget_Detail!$D$5:$D$295,"Recreation")</f>
        <v/>
      </c>
      <c r="D286" s="36">
        <f>SUMIFS(GF_Budget_Detail!$G$5:$G$295,GF_Budget_Detail!$A$5:$A$295,$J$271,GF_Budget_Detail!$D$5:$D$295,"Recreation")</f>
        <v/>
      </c>
      <c r="E286" s="22">
        <f>C286-B286</f>
        <v/>
      </c>
      <c r="F286" s="22">
        <f>-(D286-C286)</f>
        <v/>
      </c>
      <c r="G286" s="43">
        <f>-(D286-B286)</f>
        <v/>
      </c>
      <c r="H286" s="33">
        <f>IFERROR(F286/ABS(C286),0)</f>
        <v/>
      </c>
      <c r="I286" s="44">
        <f>IF(AND(ABS(F286)&gt;=$L$2,ABS(H286)&gt;=$L$3),"Explain","")</f>
        <v/>
      </c>
      <c r="J286" s="2" t="n"/>
      <c r="K286" s="2" t="n"/>
      <c r="L286" s="2" t="n"/>
    </row>
    <row r="287">
      <c r="A287" s="21" t="inlineStr">
        <is>
          <t>Community development</t>
        </is>
      </c>
      <c r="B287" s="36">
        <f>SUMIFS(GF_Budget_Detail!$E$5:$E$295,GF_Budget_Detail!$A$5:$A$295,$J$271,GF_Budget_Detail!$D$5:$D$295,"Community development")</f>
        <v/>
      </c>
      <c r="C287" s="36">
        <f>SUMIFS(GF_Budget_Detail!$F$5:$F$295,GF_Budget_Detail!$A$5:$A$295,$J$271,GF_Budget_Detail!$D$5:$D$295,"Community development")</f>
        <v/>
      </c>
      <c r="D287" s="36">
        <f>SUMIFS(GF_Budget_Detail!$G$5:$G$295,GF_Budget_Detail!$A$5:$A$295,$J$271,GF_Budget_Detail!$D$5:$D$295,"Community development")</f>
        <v/>
      </c>
      <c r="E287" s="22">
        <f>C287-B287</f>
        <v/>
      </c>
      <c r="F287" s="22">
        <f>-(D287-C287)</f>
        <v/>
      </c>
      <c r="G287" s="43">
        <f>-(D287-B287)</f>
        <v/>
      </c>
      <c r="H287" s="33">
        <f>IFERROR(F287/ABS(C287),0)</f>
        <v/>
      </c>
      <c r="I287" s="44">
        <f>IF(AND(ABS(F287)&gt;=$L$2,ABS(H287)&gt;=$L$3),"Explain","")</f>
        <v/>
      </c>
      <c r="J287" s="2" t="n"/>
      <c r="K287" s="2" t="n"/>
      <c r="L287" s="2" t="n"/>
    </row>
    <row r="288">
      <c r="A288" s="21" t="inlineStr">
        <is>
          <t>Public safety - Police</t>
        </is>
      </c>
      <c r="B288" s="36">
        <f>SUMIFS(GF_Budget_Detail!$E$5:$E$295,GF_Budget_Detail!$A$5:$A$295,$J$271,GF_Budget_Detail!$D$5:$D$295,"Public safety - Police")</f>
        <v/>
      </c>
      <c r="C288" s="36">
        <f>SUMIFS(GF_Budget_Detail!$F$5:$F$295,GF_Budget_Detail!$A$5:$A$295,$J$271,GF_Budget_Detail!$D$5:$D$295,"Public safety - Police")</f>
        <v/>
      </c>
      <c r="D288" s="36">
        <f>SUMIFS(GF_Budget_Detail!$G$5:$G$295,GF_Budget_Detail!$A$5:$A$295,$J$271,GF_Budget_Detail!$D$5:$D$295,"Public safety - Police")</f>
        <v/>
      </c>
      <c r="E288" s="22">
        <f>C288-B288</f>
        <v/>
      </c>
      <c r="F288" s="22">
        <f>-(D288-C288)</f>
        <v/>
      </c>
      <c r="G288" s="43">
        <f>-(D288-B288)</f>
        <v/>
      </c>
      <c r="H288" s="33">
        <f>IFERROR(F288/ABS(C288),0)</f>
        <v/>
      </c>
      <c r="I288" s="44">
        <f>IF(AND(ABS(F288)&gt;=$L$2,ABS(H288)&gt;=$L$3),"Explain","")</f>
        <v/>
      </c>
      <c r="J288" s="2" t="n"/>
      <c r="K288" s="2" t="n"/>
      <c r="L288" s="2" t="n"/>
    </row>
    <row r="289">
      <c r="A289" s="21" t="inlineStr">
        <is>
          <t>Public safety - Fire</t>
        </is>
      </c>
      <c r="B289" s="36">
        <f>SUMIFS(GF_Budget_Detail!$E$5:$E$295,GF_Budget_Detail!$A$5:$A$295,$J$271,GF_Budget_Detail!$D$5:$D$295,"Public safety - Fire")</f>
        <v/>
      </c>
      <c r="C289" s="36">
        <f>SUMIFS(GF_Budget_Detail!$F$5:$F$295,GF_Budget_Detail!$A$5:$A$295,$J$271,GF_Budget_Detail!$D$5:$D$295,"Public safety - Fire")</f>
        <v/>
      </c>
      <c r="D289" s="36">
        <f>SUMIFS(GF_Budget_Detail!$G$5:$G$295,GF_Budget_Detail!$A$5:$A$295,$J$271,GF_Budget_Detail!$D$5:$D$295,"Public safety - Fire")</f>
        <v/>
      </c>
      <c r="E289" s="22">
        <f>C289-B289</f>
        <v/>
      </c>
      <c r="F289" s="22">
        <f>-(D289-C289)</f>
        <v/>
      </c>
      <c r="G289" s="43">
        <f>-(D289-B289)</f>
        <v/>
      </c>
      <c r="H289" s="33">
        <f>IFERROR(F289/ABS(C289),0)</f>
        <v/>
      </c>
      <c r="I289" s="44">
        <f>IF(AND(ABS(F289)&gt;=$L$2,ABS(H289)&gt;=$L$3),"Explain","")</f>
        <v/>
      </c>
      <c r="J289" s="2" t="n"/>
      <c r="K289" s="2" t="n"/>
      <c r="L289" s="2" t="n"/>
    </row>
    <row r="290">
      <c r="A290" s="21" t="inlineStr">
        <is>
          <t>Public safety (combined)</t>
        </is>
      </c>
      <c r="B290" s="36">
        <f>SUMIFS(GF_Budget_Detail!$E$5:$E$295,GF_Budget_Detail!$A$5:$A$295,$J$271,GF_Budget_Detail!$D$5:$D$295,"Public safety (combined)")</f>
        <v/>
      </c>
      <c r="C290" s="36">
        <f>SUMIFS(GF_Budget_Detail!$F$5:$F$295,GF_Budget_Detail!$A$5:$A$295,$J$271,GF_Budget_Detail!$D$5:$D$295,"Public safety (combined)")</f>
        <v/>
      </c>
      <c r="D290" s="36">
        <f>SUMIFS(GF_Budget_Detail!$G$5:$G$295,GF_Budget_Detail!$A$5:$A$295,$J$271,GF_Budget_Detail!$D$5:$D$295,"Public safety (combined)")</f>
        <v/>
      </c>
      <c r="E290" s="22">
        <f>C290-B290</f>
        <v/>
      </c>
      <c r="F290" s="22">
        <f>-(D290-C290)</f>
        <v/>
      </c>
      <c r="G290" s="43">
        <f>-(D290-B290)</f>
        <v/>
      </c>
      <c r="H290" s="33">
        <f>IFERROR(F290/ABS(C290),0)</f>
        <v/>
      </c>
      <c r="I290" s="44">
        <f>IF(AND(ABS(F290)&gt;=$L$2,ABS(H290)&gt;=$L$3),"Explain","")</f>
        <v/>
      </c>
      <c r="J290" s="2" t="n"/>
      <c r="K290" s="2" t="n"/>
      <c r="L290" s="2" t="n"/>
    </row>
    <row r="291">
      <c r="A291" s="21" t="inlineStr">
        <is>
          <t>Payment of sales tax to City of Richmond</t>
        </is>
      </c>
      <c r="B291" s="36">
        <f>SUMIFS(GF_Budget_Detail!$E$5:$E$295,GF_Budget_Detail!$A$5:$A$295,$J$271,GF_Budget_Detail!$D$5:$D$295,"Payment of sales tax to City of Richmond")</f>
        <v/>
      </c>
      <c r="C291" s="36">
        <f>SUMIFS(GF_Budget_Detail!$F$5:$F$295,GF_Budget_Detail!$A$5:$A$295,$J$271,GF_Budget_Detail!$D$5:$D$295,"Payment of sales tax to City of Richmond")</f>
        <v/>
      </c>
      <c r="D291" s="36">
        <f>SUMIFS(GF_Budget_Detail!$G$5:$G$295,GF_Budget_Detail!$A$5:$A$295,$J$271,GF_Budget_Detail!$D$5:$D$295,"Payment of sales tax to City of Richmond")</f>
        <v/>
      </c>
      <c r="E291" s="22">
        <f>C291-B291</f>
        <v/>
      </c>
      <c r="F291" s="22">
        <f>-(D291-C291)</f>
        <v/>
      </c>
      <c r="G291" s="43">
        <f>-(D291-B291)</f>
        <v/>
      </c>
      <c r="H291" s="33">
        <f>IFERROR(F291/ABS(C291),0)</f>
        <v/>
      </c>
      <c r="I291" s="44">
        <f>IF(AND(ABS(F291)&gt;=$L$2,ABS(H291)&gt;=$L$3),"Explain","")</f>
        <v/>
      </c>
      <c r="J291" s="2" t="n"/>
      <c r="K291" s="2" t="n"/>
      <c r="L291" s="2" t="n"/>
    </row>
    <row r="292">
      <c r="A292" s="21" t="inlineStr">
        <is>
          <t>Capital outlay</t>
        </is>
      </c>
      <c r="B292" s="36">
        <f>SUMIFS(GF_Budget_Detail!$E$5:$E$295,GF_Budget_Detail!$A$5:$A$295,$J$271,GF_Budget_Detail!$D$5:$D$295,"Capital outlay")</f>
        <v/>
      </c>
      <c r="C292" s="36">
        <f>SUMIFS(GF_Budget_Detail!$F$5:$F$295,GF_Budget_Detail!$A$5:$A$295,$J$271,GF_Budget_Detail!$D$5:$D$295,"Capital outlay")</f>
        <v/>
      </c>
      <c r="D292" s="36">
        <f>SUMIFS(GF_Budget_Detail!$G$5:$G$295,GF_Budget_Detail!$A$5:$A$295,$J$271,GF_Budget_Detail!$D$5:$D$295,"Capital outlay")</f>
        <v/>
      </c>
      <c r="E292" s="22">
        <f>C292-B292</f>
        <v/>
      </c>
      <c r="F292" s="22">
        <f>-(D292-C292)</f>
        <v/>
      </c>
      <c r="G292" s="43">
        <f>-(D292-B292)</f>
        <v/>
      </c>
      <c r="H292" s="33">
        <f>IFERROR(F292/ABS(C292),0)</f>
        <v/>
      </c>
      <c r="I292" s="44">
        <f>IF(AND(ABS(F292)&gt;=$L$2,ABS(H292)&gt;=$L$3),"Explain","")</f>
        <v/>
      </c>
      <c r="J292" s="2" t="n"/>
      <c r="K292" s="2" t="n"/>
      <c r="L292" s="2" t="n"/>
    </row>
    <row r="293">
      <c r="A293" s="21" t="inlineStr">
        <is>
          <t>Debt service - principal</t>
        </is>
      </c>
      <c r="B293" s="36">
        <f>SUMIFS(GF_Budget_Detail!$E$5:$E$295,GF_Budget_Detail!$A$5:$A$295,$J$271,GF_Budget_Detail!$D$5:$D$295,"Debt service - principal")</f>
        <v/>
      </c>
      <c r="C293" s="36">
        <f>SUMIFS(GF_Budget_Detail!$F$5:$F$295,GF_Budget_Detail!$A$5:$A$295,$J$271,GF_Budget_Detail!$D$5:$D$295,"Debt service - principal")</f>
        <v/>
      </c>
      <c r="D293" s="36">
        <f>SUMIFS(GF_Budget_Detail!$G$5:$G$295,GF_Budget_Detail!$A$5:$A$295,$J$271,GF_Budget_Detail!$D$5:$D$295,"Debt service - principal")</f>
        <v/>
      </c>
      <c r="E293" s="22">
        <f>C293-B293</f>
        <v/>
      </c>
      <c r="F293" s="22">
        <f>-(D293-C293)</f>
        <v/>
      </c>
      <c r="G293" s="43">
        <f>-(D293-B293)</f>
        <v/>
      </c>
      <c r="H293" s="33">
        <f>IFERROR(F293/ABS(C293),0)</f>
        <v/>
      </c>
      <c r="I293" s="44">
        <f>IF(AND(ABS(F293)&gt;=$L$2,ABS(H293)&gt;=$L$3),"Explain","")</f>
        <v/>
      </c>
      <c r="J293" s="2" t="n"/>
      <c r="K293" s="2" t="n"/>
      <c r="L293" s="2" t="n"/>
    </row>
    <row r="294">
      <c r="A294" s="21" t="inlineStr">
        <is>
          <t>Debt service - interest</t>
        </is>
      </c>
      <c r="B294" s="36">
        <f>SUMIFS(GF_Budget_Detail!$E$5:$E$295,GF_Budget_Detail!$A$5:$A$295,$J$271,GF_Budget_Detail!$D$5:$D$295,"Debt service - interest")</f>
        <v/>
      </c>
      <c r="C294" s="36">
        <f>SUMIFS(GF_Budget_Detail!$F$5:$F$295,GF_Budget_Detail!$A$5:$A$295,$J$271,GF_Budget_Detail!$D$5:$D$295,"Debt service - interest")</f>
        <v/>
      </c>
      <c r="D294" s="36">
        <f>SUMIFS(GF_Budget_Detail!$G$5:$G$295,GF_Budget_Detail!$A$5:$A$295,$J$271,GF_Budget_Detail!$D$5:$D$295,"Debt service - interest")</f>
        <v/>
      </c>
      <c r="E294" s="22">
        <f>C294-B294</f>
        <v/>
      </c>
      <c r="F294" s="22">
        <f>-(D294-C294)</f>
        <v/>
      </c>
      <c r="G294" s="43">
        <f>-(D294-B294)</f>
        <v/>
      </c>
      <c r="H294" s="33">
        <f>IFERROR(F294/ABS(C294),0)</f>
        <v/>
      </c>
      <c r="I294" s="44">
        <f>IF(AND(ABS(F294)&gt;=$L$2,ABS(H294)&gt;=$L$3),"Explain","")</f>
        <v/>
      </c>
      <c r="J294" s="2" t="n"/>
      <c r="K294" s="2" t="n"/>
      <c r="L294" s="2" t="n"/>
    </row>
    <row r="295">
      <c r="A295" s="21" t="inlineStr">
        <is>
          <t>Non-departmental (budget-report basis)</t>
        </is>
      </c>
      <c r="B295" s="36">
        <f>SUMIFS(GF_Budget_Detail!$E$5:$E$295,GF_Budget_Detail!$A$5:$A$295,$J$271,GF_Budget_Detail!$D$5:$D$295,"Non-departmental (budget-report basis)")</f>
        <v/>
      </c>
      <c r="C295" s="36">
        <f>SUMIFS(GF_Budget_Detail!$F$5:$F$295,GF_Budget_Detail!$A$5:$A$295,$J$271,GF_Budget_Detail!$D$5:$D$295,"Non-departmental (budget-report basis)")</f>
        <v/>
      </c>
      <c r="D295" s="36">
        <f>SUMIFS(GF_Budget_Detail!$G$5:$G$295,GF_Budget_Detail!$A$5:$A$295,$J$271,GF_Budget_Detail!$D$5:$D$295,"Non-departmental (budget-report basis)")</f>
        <v/>
      </c>
      <c r="E295" s="22">
        <f>C295-B295</f>
        <v/>
      </c>
      <c r="F295" s="22">
        <f>-(D295-C295)</f>
        <v/>
      </c>
      <c r="G295" s="43">
        <f>-(D295-B295)</f>
        <v/>
      </c>
      <c r="H295" s="33">
        <f>IFERROR(F295/ABS(C295),0)</f>
        <v/>
      </c>
      <c r="I295" s="44">
        <f>IF(AND(ABS(F295)&gt;=$L$2,ABS(H295)&gt;=$L$3),"Explain","")</f>
        <v/>
      </c>
      <c r="J295" s="2" t="n"/>
      <c r="K295" s="2" t="n"/>
      <c r="L295" s="2" t="n"/>
    </row>
    <row r="296">
      <c r="A296" s="21" t="inlineStr">
        <is>
          <t>Original budget not itemized by department</t>
        </is>
      </c>
      <c r="B296" s="36">
        <f>SUMIFS(GF_Budget_Detail!$E$5:$E$295,GF_Budget_Detail!$A$5:$A$295,$J$271,GF_Budget_Detail!$D$5:$D$295,"Original budget not itemized by department")</f>
        <v/>
      </c>
      <c r="C296" s="36">
        <f>SUMIFS(GF_Budget_Detail!$F$5:$F$295,GF_Budget_Detail!$A$5:$A$295,$J$271,GF_Budget_Detail!$D$5:$D$295,"Original budget not itemized by department")</f>
        <v/>
      </c>
      <c r="D296" s="36">
        <f>SUMIFS(GF_Budget_Detail!$G$5:$G$295,GF_Budget_Detail!$A$5:$A$295,$J$271,GF_Budget_Detail!$D$5:$D$295,"Original budget not itemized by department")</f>
        <v/>
      </c>
      <c r="E296" s="22">
        <f>C296-B296</f>
        <v/>
      </c>
      <c r="F296" s="22">
        <f>-(D296-C296)</f>
        <v/>
      </c>
      <c r="G296" s="43">
        <f>-(D296-B296)</f>
        <v/>
      </c>
      <c r="H296" s="33">
        <f>IFERROR(F296/ABS(C296),0)</f>
        <v/>
      </c>
      <c r="I296" s="44">
        <f>IF(AND(ABS(F296)&gt;=$L$2,ABS(H296)&gt;=$L$3),"Explain","")</f>
        <v/>
      </c>
      <c r="J296" s="2" t="n"/>
      <c r="K296" s="2" t="n"/>
      <c r="L296" s="2" t="n"/>
    </row>
    <row r="297">
      <c r="A297" s="12" t="inlineStr">
        <is>
          <t>Total expenditures</t>
        </is>
      </c>
      <c r="B297" s="24">
        <f>SUM(B284:B296)</f>
        <v/>
      </c>
      <c r="C297" s="24">
        <f>SUM(C284:C296)</f>
        <v/>
      </c>
      <c r="D297" s="24">
        <f>SUM(D284:D296)</f>
        <v/>
      </c>
      <c r="E297" s="24">
        <f>C297-B297</f>
        <v/>
      </c>
      <c r="F297" s="24">
        <f>-(D297-C297)</f>
        <v/>
      </c>
      <c r="G297" s="24">
        <f>-(D297-B297)</f>
        <v/>
      </c>
      <c r="H297" s="45">
        <f>IFERROR(F297/ABS(C297),0)</f>
        <v/>
      </c>
      <c r="I297" s="46">
        <f>IF(AND(ABS(F297)&gt;=$L$2,ABS(H297)&gt;=$L$3),"Explain","")</f>
        <v/>
      </c>
      <c r="J297" s="2" t="n"/>
      <c r="K297" s="2" t="n"/>
      <c r="L297" s="2" t="n"/>
    </row>
    <row r="298">
      <c r="A298" s="2" t="n"/>
      <c r="B298" s="2" t="n"/>
      <c r="C298" s="2" t="n"/>
      <c r="D298" s="2" t="n"/>
      <c r="E298" s="2" t="n"/>
      <c r="F298" s="2" t="n"/>
      <c r="G298" s="2" t="n"/>
      <c r="H298" s="2" t="n"/>
      <c r="I298" s="2" t="n"/>
      <c r="J298" s="2" t="n"/>
      <c r="K298" s="2" t="n"/>
      <c r="L298" s="2" t="n"/>
    </row>
    <row r="299">
      <c r="A299" s="21" t="inlineStr">
        <is>
          <t>Transfers in</t>
        </is>
      </c>
      <c r="B299" s="36">
        <f>SUMIFS(GF_Budget_Detail!$E$5:$E$295,GF_Budget_Detail!$A$5:$A$295,$J$271,GF_Budget_Detail!$D$5:$D$295,"Transfers in")</f>
        <v/>
      </c>
      <c r="C299" s="36">
        <f>SUMIFS(GF_Budget_Detail!$F$5:$F$295,GF_Budget_Detail!$A$5:$A$295,$J$271,GF_Budget_Detail!$D$5:$D$295,"Transfers in")</f>
        <v/>
      </c>
      <c r="D299" s="36">
        <f>SUMIFS(GF_Budget_Detail!$G$5:$G$295,GF_Budget_Detail!$A$5:$A$295,$J$271,GF_Budget_Detail!$D$5:$D$295,"Transfers in")</f>
        <v/>
      </c>
      <c r="E299" s="22">
        <f>C299-B299</f>
        <v/>
      </c>
      <c r="F299" s="22">
        <f>(D299-C299)</f>
        <v/>
      </c>
      <c r="G299" s="43">
        <f>(D299-B299)</f>
        <v/>
      </c>
      <c r="H299" s="33">
        <f>IFERROR(F299/ABS(C299),0)</f>
        <v/>
      </c>
      <c r="I299" s="44">
        <f>IF(AND(ABS(F299)&gt;=$L$2,ABS(H299)&gt;=$L$3),"Explain","")</f>
        <v/>
      </c>
      <c r="J299" s="2" t="n"/>
      <c r="K299" s="2" t="n"/>
      <c r="L299" s="2" t="n"/>
    </row>
    <row r="300">
      <c r="A300" s="21" t="inlineStr">
        <is>
          <t>Transfers out</t>
        </is>
      </c>
      <c r="B300" s="36">
        <f>SUMIFS(GF_Budget_Detail!$E$5:$E$295,GF_Budget_Detail!$A$5:$A$295,$J$271,GF_Budget_Detail!$D$5:$D$295,"Transfers out")</f>
        <v/>
      </c>
      <c r="C300" s="36">
        <f>SUMIFS(GF_Budget_Detail!$F$5:$F$295,GF_Budget_Detail!$A$5:$A$295,$J$271,GF_Budget_Detail!$D$5:$D$295,"Transfers out")</f>
        <v/>
      </c>
      <c r="D300" s="36">
        <f>SUMIFS(GF_Budget_Detail!$G$5:$G$295,GF_Budget_Detail!$A$5:$A$295,$J$271,GF_Budget_Detail!$D$5:$D$295,"Transfers out")</f>
        <v/>
      </c>
      <c r="E300" s="22">
        <f>C300-B300</f>
        <v/>
      </c>
      <c r="F300" s="22">
        <f>(D300-C300)</f>
        <v/>
      </c>
      <c r="G300" s="43">
        <f>(D300-B300)</f>
        <v/>
      </c>
      <c r="H300" s="33">
        <f>IFERROR(F300/ABS(C300),0)</f>
        <v/>
      </c>
      <c r="I300" s="44">
        <f>IF(AND(ABS(F300)&gt;=$L$2,ABS(H300)&gt;=$L$3),"Explain","")</f>
        <v/>
      </c>
      <c r="J300" s="2" t="n"/>
      <c r="K300" s="2" t="n"/>
      <c r="L300" s="2" t="n"/>
    </row>
    <row r="301">
      <c r="A301" s="21" t="inlineStr">
        <is>
          <t>Debt / lease financing proceeds</t>
        </is>
      </c>
      <c r="B301" s="36">
        <f>SUMIFS(GF_Budget_Detail!$E$5:$E$295,GF_Budget_Detail!$A$5:$A$295,$J$271,GF_Budget_Detail!$D$5:$D$295,"Debt / lease financing proceeds")</f>
        <v/>
      </c>
      <c r="C301" s="36">
        <f>SUMIFS(GF_Budget_Detail!$F$5:$F$295,GF_Budget_Detail!$A$5:$A$295,$J$271,GF_Budget_Detail!$D$5:$D$295,"Debt / lease financing proceeds")</f>
        <v/>
      </c>
      <c r="D301" s="36">
        <f>SUMIFS(GF_Budget_Detail!$G$5:$G$295,GF_Budget_Detail!$A$5:$A$295,$J$271,GF_Budget_Detail!$D$5:$D$295,"Debt / lease financing proceeds")</f>
        <v/>
      </c>
      <c r="E301" s="22">
        <f>C301-B301</f>
        <v/>
      </c>
      <c r="F301" s="22">
        <f>(D301-C301)</f>
        <v/>
      </c>
      <c r="G301" s="43">
        <f>(D301-B301)</f>
        <v/>
      </c>
      <c r="H301" s="33">
        <f>IFERROR(F301/ABS(C301),0)</f>
        <v/>
      </c>
      <c r="I301" s="44">
        <f>IF(AND(ABS(F301)&gt;=$L$2,ABS(H301)&gt;=$L$3),"Explain","")</f>
        <v/>
      </c>
      <c r="J301" s="2" t="n"/>
      <c r="K301" s="2" t="n"/>
      <c r="L301" s="2" t="n"/>
    </row>
    <row r="302">
      <c r="A302" s="21" t="inlineStr">
        <is>
          <t>Proceeds from sale of capital assets</t>
        </is>
      </c>
      <c r="B302" s="36">
        <f>SUMIFS(GF_Budget_Detail!$E$5:$E$295,GF_Budget_Detail!$A$5:$A$295,$J$271,GF_Budget_Detail!$D$5:$D$295,"Proceeds from sale of capital assets")</f>
        <v/>
      </c>
      <c r="C302" s="36">
        <f>SUMIFS(GF_Budget_Detail!$F$5:$F$295,GF_Budget_Detail!$A$5:$A$295,$J$271,GF_Budget_Detail!$D$5:$D$295,"Proceeds from sale of capital assets")</f>
        <v/>
      </c>
      <c r="D302" s="36">
        <f>SUMIFS(GF_Budget_Detail!$G$5:$G$295,GF_Budget_Detail!$A$5:$A$295,$J$271,GF_Budget_Detail!$D$5:$D$295,"Proceeds from sale of capital assets")</f>
        <v/>
      </c>
      <c r="E302" s="22">
        <f>C302-B302</f>
        <v/>
      </c>
      <c r="F302" s="22">
        <f>(D302-C302)</f>
        <v/>
      </c>
      <c r="G302" s="43">
        <f>(D302-B302)</f>
        <v/>
      </c>
      <c r="H302" s="33">
        <f>IFERROR(F302/ABS(C302),0)</f>
        <v/>
      </c>
      <c r="I302" s="44">
        <f>IF(AND(ABS(F302)&gt;=$L$2,ABS(H302)&gt;=$L$3),"Explain","")</f>
        <v/>
      </c>
      <c r="J302" s="2" t="n"/>
      <c r="K302" s="2" t="n"/>
      <c r="L302" s="2" t="n"/>
    </row>
    <row r="303">
      <c r="A303" s="21" t="inlineStr">
        <is>
          <t>Special items</t>
        </is>
      </c>
      <c r="B303" s="36">
        <f>SUMIFS(GF_Budget_Detail!$E$5:$E$295,GF_Budget_Detail!$A$5:$A$295,$J$271,GF_Budget_Detail!$D$5:$D$295,"Special items")</f>
        <v/>
      </c>
      <c r="C303" s="36">
        <f>SUMIFS(GF_Budget_Detail!$F$5:$F$295,GF_Budget_Detail!$A$5:$A$295,$J$271,GF_Budget_Detail!$D$5:$D$295,"Special items")</f>
        <v/>
      </c>
      <c r="D303" s="36">
        <f>SUMIFS(GF_Budget_Detail!$G$5:$G$295,GF_Budget_Detail!$A$5:$A$295,$J$271,GF_Budget_Detail!$D$5:$D$295,"Special items")</f>
        <v/>
      </c>
      <c r="E303" s="22">
        <f>C303-B303</f>
        <v/>
      </c>
      <c r="F303" s="22">
        <f>(D303-C303)</f>
        <v/>
      </c>
      <c r="G303" s="43">
        <f>(D303-B303)</f>
        <v/>
      </c>
      <c r="H303" s="33">
        <f>IFERROR(F303/ABS(C303),0)</f>
        <v/>
      </c>
      <c r="I303" s="44">
        <f>IF(AND(ABS(F303)&gt;=$L$2,ABS(H303)&gt;=$L$3),"Explain","")</f>
        <v/>
      </c>
      <c r="J303" s="2" t="n"/>
      <c r="K303" s="2" t="n"/>
      <c r="L303" s="2" t="n"/>
    </row>
    <row r="304">
      <c r="A304" s="12" t="inlineStr">
        <is>
          <t>Total other financing sources (uses) and special items</t>
        </is>
      </c>
      <c r="B304" s="24">
        <f>SUM(B299:B303)</f>
        <v/>
      </c>
      <c r="C304" s="24">
        <f>SUM(C299:C303)</f>
        <v/>
      </c>
      <c r="D304" s="24">
        <f>SUM(D299:D303)</f>
        <v/>
      </c>
      <c r="E304" s="24">
        <f>C304-B304</f>
        <v/>
      </c>
      <c r="F304" s="24">
        <f>(D304-C304)</f>
        <v/>
      </c>
      <c r="G304" s="24">
        <f>(D304-B304)</f>
        <v/>
      </c>
      <c r="H304" s="45">
        <f>IFERROR(F304/ABS(C304),0)</f>
        <v/>
      </c>
      <c r="I304" s="46">
        <f>IF(AND(ABS(F304)&gt;=$L$2,ABS(H304)&gt;=$L$3),"Explain","")</f>
        <v/>
      </c>
      <c r="J304" s="2" t="n"/>
      <c r="K304" s="2" t="n"/>
      <c r="L304" s="2" t="n"/>
    </row>
    <row r="305">
      <c r="A305" s="2" t="n"/>
      <c r="B305" s="2" t="n"/>
      <c r="C305" s="2" t="n"/>
      <c r="D305" s="2" t="n"/>
      <c r="E305" s="2" t="n"/>
      <c r="F305" s="2" t="n"/>
      <c r="G305" s="2" t="n"/>
      <c r="H305" s="2" t="n"/>
      <c r="I305" s="2" t="n"/>
      <c r="J305" s="2" t="n"/>
      <c r="K305" s="2" t="n"/>
      <c r="L305" s="2" t="n"/>
    </row>
    <row r="306">
      <c r="A306" s="12" t="inlineStr">
        <is>
          <t>Net change in fund balance</t>
        </is>
      </c>
      <c r="B306" s="31">
        <f>B282-B297+B304</f>
        <v/>
      </c>
      <c r="C306" s="31">
        <f>C282-C297+C304</f>
        <v/>
      </c>
      <c r="D306" s="31">
        <f>D282-D297+D304</f>
        <v/>
      </c>
      <c r="E306" s="31">
        <f>C306-B306</f>
        <v/>
      </c>
      <c r="F306" s="31">
        <f>D306-C306</f>
        <v/>
      </c>
      <c r="G306" s="31">
        <f>D306-B306</f>
        <v/>
      </c>
      <c r="H306" s="2" t="n"/>
      <c r="I306" s="2" t="n"/>
      <c r="J306" s="2" t="n"/>
      <c r="K306" s="2" t="n"/>
      <c r="L306" s="2" t="n"/>
    </row>
    <row r="307">
      <c r="A307" s="2" t="n"/>
      <c r="B307" s="2" t="n"/>
      <c r="C307" s="2" t="n"/>
      <c r="D307" s="2" t="n"/>
      <c r="E307" s="2" t="n"/>
      <c r="F307" s="2" t="n"/>
      <c r="G307" s="2" t="n"/>
      <c r="H307" s="2" t="n"/>
      <c r="I307" s="2" t="n"/>
      <c r="J307" s="2" t="n"/>
      <c r="K307" s="2" t="n"/>
      <c r="L307" s="2" t="n"/>
    </row>
    <row r="308">
      <c r="A308" s="2" t="n"/>
      <c r="B308" s="2" t="n"/>
      <c r="C308" s="2" t="n"/>
      <c r="D308" s="2" t="n"/>
      <c r="E308" s="2" t="n"/>
      <c r="F308" s="2" t="n"/>
      <c r="G308" s="2" t="n"/>
      <c r="H308" s="2" t="n"/>
      <c r="I308" s="2" t="n"/>
      <c r="J308" s="2" t="n"/>
      <c r="K308" s="2" t="n"/>
      <c r="L308" s="2" t="n"/>
    </row>
    <row r="309">
      <c r="A309" s="16" t="inlineStr">
        <is>
          <t>FY2021-22 (year ended June 30, 2022)  -  Budgetary comparison schedule, General Fund  -  GAAP (modified accrual) budgetary basis</t>
        </is>
      </c>
      <c r="B309" s="39" t="n"/>
      <c r="C309" s="39" t="n"/>
      <c r="D309" s="39" t="n"/>
      <c r="E309" s="39" t="n"/>
      <c r="F309" s="39" t="n"/>
      <c r="G309" s="39" t="n"/>
      <c r="H309" s="39" t="n"/>
      <c r="I309" s="39" t="n"/>
      <c r="J309" s="40" t="n">
        <v>2022</v>
      </c>
      <c r="K309" s="2" t="n"/>
      <c r="L309" s="2" t="n"/>
    </row>
    <row r="310" ht="54" customHeight="1">
      <c r="A310" s="41" t="inlineStr">
        <is>
          <t>Category</t>
        </is>
      </c>
      <c r="B310" s="41" t="inlineStr">
        <is>
          <t>Budgeted amounts - Original</t>
        </is>
      </c>
      <c r="C310" s="41" t="inlineStr">
        <is>
          <t>Budgeted amounts - Final</t>
        </is>
      </c>
      <c r="D310" s="41" t="inlineStr">
        <is>
          <t>Actual amounts (budgetary basis)</t>
        </is>
      </c>
      <c r="E310" s="41" t="inlineStr">
        <is>
          <t>Variance: Original to Final budget, increase (decrease)</t>
        </is>
      </c>
      <c r="F310" s="41" t="inlineStr">
        <is>
          <t>Variance with Final budget, positive (negative)</t>
        </is>
      </c>
      <c r="G310" s="42" t="inlineStr">
        <is>
          <t>Variance with Original budget, positive (negative) [supplementary]</t>
        </is>
      </c>
      <c r="H310" s="41" t="inlineStr">
        <is>
          <t>Variance with Final budget %</t>
        </is>
      </c>
      <c r="I310" s="41" t="inlineStr">
        <is>
          <t>Significant variance? (GASB 103 note candidate)</t>
        </is>
      </c>
      <c r="J310" s="2" t="n"/>
      <c r="K310" s="2" t="n"/>
      <c r="L310" s="2" t="n"/>
    </row>
    <row r="311">
      <c r="A311" s="21" t="inlineStr">
        <is>
          <t>Property taxes</t>
        </is>
      </c>
      <c r="B311" s="36">
        <f>SUMIFS(GF_Budget_Detail!$E$5:$E$295,GF_Budget_Detail!$A$5:$A$295,$J$309,GF_Budget_Detail!$D$5:$D$295,"Property taxes")</f>
        <v/>
      </c>
      <c r="C311" s="36">
        <f>SUMIFS(GF_Budget_Detail!$F$5:$F$295,GF_Budget_Detail!$A$5:$A$295,$J$309,GF_Budget_Detail!$D$5:$D$295,"Property taxes")</f>
        <v/>
      </c>
      <c r="D311" s="36">
        <f>SUMIFS(GF_Budget_Detail!$G$5:$G$295,GF_Budget_Detail!$A$5:$A$295,$J$309,GF_Budget_Detail!$D$5:$D$295,"Property taxes")</f>
        <v/>
      </c>
      <c r="E311" s="22">
        <f>C311-B311</f>
        <v/>
      </c>
      <c r="F311" s="22">
        <f>(D311-C311)</f>
        <v/>
      </c>
      <c r="G311" s="43">
        <f>(D311-B311)</f>
        <v/>
      </c>
      <c r="H311" s="33">
        <f>IFERROR(F311/ABS(C311),0)</f>
        <v/>
      </c>
      <c r="I311" s="44">
        <f>IF(AND(ABS(F311)&gt;=$L$2,ABS(H311)&gt;=$L$3),"Explain","")</f>
        <v/>
      </c>
      <c r="J311" s="2" t="n"/>
      <c r="K311" s="2" t="n"/>
      <c r="L311" s="2" t="n"/>
    </row>
    <row r="312">
      <c r="A312" s="21" t="inlineStr">
        <is>
          <t>Taxes other than property</t>
        </is>
      </c>
      <c r="B312" s="36">
        <f>SUMIFS(GF_Budget_Detail!$E$5:$E$295,GF_Budget_Detail!$A$5:$A$295,$J$309,GF_Budget_Detail!$D$5:$D$295,"Taxes other than property")</f>
        <v/>
      </c>
      <c r="C312" s="36">
        <f>SUMIFS(GF_Budget_Detail!$F$5:$F$295,GF_Budget_Detail!$A$5:$A$295,$J$309,GF_Budget_Detail!$D$5:$D$295,"Taxes other than property")</f>
        <v/>
      </c>
      <c r="D312" s="36">
        <f>SUMIFS(GF_Budget_Detail!$G$5:$G$295,GF_Budget_Detail!$A$5:$A$295,$J$309,GF_Budget_Detail!$D$5:$D$295,"Taxes other than property")</f>
        <v/>
      </c>
      <c r="E312" s="22">
        <f>C312-B312</f>
        <v/>
      </c>
      <c r="F312" s="22">
        <f>(D312-C312)</f>
        <v/>
      </c>
      <c r="G312" s="43">
        <f>(D312-B312)</f>
        <v/>
      </c>
      <c r="H312" s="33">
        <f>IFERROR(F312/ABS(C312),0)</f>
        <v/>
      </c>
      <c r="I312" s="44">
        <f>IF(AND(ABS(F312)&gt;=$L$2,ABS(H312)&gt;=$L$3),"Explain","")</f>
        <v/>
      </c>
      <c r="J312" s="2" t="n"/>
      <c r="K312" s="2" t="n"/>
      <c r="L312" s="2" t="n"/>
    </row>
    <row r="313">
      <c r="A313" s="21" t="inlineStr">
        <is>
          <t>Taxes and assessments (combined)</t>
        </is>
      </c>
      <c r="B313" s="36">
        <f>SUMIFS(GF_Budget_Detail!$E$5:$E$295,GF_Budget_Detail!$A$5:$A$295,$J$309,GF_Budget_Detail!$D$5:$D$295,"Taxes and assessments (combined)")</f>
        <v/>
      </c>
      <c r="C313" s="36">
        <f>SUMIFS(GF_Budget_Detail!$F$5:$F$295,GF_Budget_Detail!$A$5:$A$295,$J$309,GF_Budget_Detail!$D$5:$D$295,"Taxes and assessments (combined)")</f>
        <v/>
      </c>
      <c r="D313" s="36">
        <f>SUMIFS(GF_Budget_Detail!$G$5:$G$295,GF_Budget_Detail!$A$5:$A$295,$J$309,GF_Budget_Detail!$D$5:$D$295,"Taxes and assessments (combined)")</f>
        <v/>
      </c>
      <c r="E313" s="22">
        <f>C313-B313</f>
        <v/>
      </c>
      <c r="F313" s="22">
        <f>(D313-C313)</f>
        <v/>
      </c>
      <c r="G313" s="43">
        <f>(D313-B313)</f>
        <v/>
      </c>
      <c r="H313" s="33">
        <f>IFERROR(F313/ABS(C313),0)</f>
        <v/>
      </c>
      <c r="I313" s="44">
        <f>IF(AND(ABS(F313)&gt;=$L$2,ABS(H313)&gt;=$L$3),"Explain","")</f>
        <v/>
      </c>
      <c r="J313" s="2" t="n"/>
      <c r="K313" s="2" t="n"/>
      <c r="L313" s="2" t="n"/>
    </row>
    <row r="314">
      <c r="A314" s="21" t="inlineStr">
        <is>
          <t>Licenses and permits</t>
        </is>
      </c>
      <c r="B314" s="36">
        <f>SUMIFS(GF_Budget_Detail!$E$5:$E$295,GF_Budget_Detail!$A$5:$A$295,$J$309,GF_Budget_Detail!$D$5:$D$295,"Licenses and permits")</f>
        <v/>
      </c>
      <c r="C314" s="36">
        <f>SUMIFS(GF_Budget_Detail!$F$5:$F$295,GF_Budget_Detail!$A$5:$A$295,$J$309,GF_Budget_Detail!$D$5:$D$295,"Licenses and permits")</f>
        <v/>
      </c>
      <c r="D314" s="36">
        <f>SUMIFS(GF_Budget_Detail!$G$5:$G$295,GF_Budget_Detail!$A$5:$A$295,$J$309,GF_Budget_Detail!$D$5:$D$295,"Licenses and permits")</f>
        <v/>
      </c>
      <c r="E314" s="22">
        <f>C314-B314</f>
        <v/>
      </c>
      <c r="F314" s="22">
        <f>(D314-C314)</f>
        <v/>
      </c>
      <c r="G314" s="43">
        <f>(D314-B314)</f>
        <v/>
      </c>
      <c r="H314" s="33">
        <f>IFERROR(F314/ABS(C314),0)</f>
        <v/>
      </c>
      <c r="I314" s="44">
        <f>IF(AND(ABS(F314)&gt;=$L$2,ABS(H314)&gt;=$L$3),"Explain","")</f>
        <v/>
      </c>
      <c r="J314" s="2" t="n"/>
      <c r="K314" s="2" t="n"/>
      <c r="L314" s="2" t="n"/>
    </row>
    <row r="315">
      <c r="A315" s="21" t="inlineStr">
        <is>
          <t>Fines and forfeitures</t>
        </is>
      </c>
      <c r="B315" s="36">
        <f>SUMIFS(GF_Budget_Detail!$E$5:$E$295,GF_Budget_Detail!$A$5:$A$295,$J$309,GF_Budget_Detail!$D$5:$D$295,"Fines and forfeitures")</f>
        <v/>
      </c>
      <c r="C315" s="36">
        <f>SUMIFS(GF_Budget_Detail!$F$5:$F$295,GF_Budget_Detail!$A$5:$A$295,$J$309,GF_Budget_Detail!$D$5:$D$295,"Fines and forfeitures")</f>
        <v/>
      </c>
      <c r="D315" s="36">
        <f>SUMIFS(GF_Budget_Detail!$G$5:$G$295,GF_Budget_Detail!$A$5:$A$295,$J$309,GF_Budget_Detail!$D$5:$D$295,"Fines and forfeitures")</f>
        <v/>
      </c>
      <c r="E315" s="22">
        <f>C315-B315</f>
        <v/>
      </c>
      <c r="F315" s="22">
        <f>(D315-C315)</f>
        <v/>
      </c>
      <c r="G315" s="43">
        <f>(D315-B315)</f>
        <v/>
      </c>
      <c r="H315" s="33">
        <f>IFERROR(F315/ABS(C315),0)</f>
        <v/>
      </c>
      <c r="I315" s="44">
        <f>IF(AND(ABS(F315)&gt;=$L$2,ABS(H315)&gt;=$L$3),"Explain","")</f>
        <v/>
      </c>
      <c r="J315" s="2" t="n"/>
      <c r="K315" s="2" t="n"/>
      <c r="L315" s="2" t="n"/>
    </row>
    <row r="316">
      <c r="A316" s="21" t="inlineStr">
        <is>
          <t>Use of money and property</t>
        </is>
      </c>
      <c r="B316" s="36">
        <f>SUMIFS(GF_Budget_Detail!$E$5:$E$295,GF_Budget_Detail!$A$5:$A$295,$J$309,GF_Budget_Detail!$D$5:$D$295,"Use of money and property")</f>
        <v/>
      </c>
      <c r="C316" s="36">
        <f>SUMIFS(GF_Budget_Detail!$F$5:$F$295,GF_Budget_Detail!$A$5:$A$295,$J$309,GF_Budget_Detail!$D$5:$D$295,"Use of money and property")</f>
        <v/>
      </c>
      <c r="D316" s="36">
        <f>SUMIFS(GF_Budget_Detail!$G$5:$G$295,GF_Budget_Detail!$A$5:$A$295,$J$309,GF_Budget_Detail!$D$5:$D$295,"Use of money and property")</f>
        <v/>
      </c>
      <c r="E316" s="22">
        <f>C316-B316</f>
        <v/>
      </c>
      <c r="F316" s="22">
        <f>(D316-C316)</f>
        <v/>
      </c>
      <c r="G316" s="43">
        <f>(D316-B316)</f>
        <v/>
      </c>
      <c r="H316" s="33">
        <f>IFERROR(F316/ABS(C316),0)</f>
        <v/>
      </c>
      <c r="I316" s="44">
        <f>IF(AND(ABS(F316)&gt;=$L$2,ABS(H316)&gt;=$L$3),"Explain","")</f>
        <v/>
      </c>
      <c r="J316" s="2" t="n"/>
      <c r="K316" s="2" t="n"/>
      <c r="L316" s="2" t="n"/>
    </row>
    <row r="317">
      <c r="A317" s="21" t="inlineStr">
        <is>
          <t>Intergovernmental</t>
        </is>
      </c>
      <c r="B317" s="36">
        <f>SUMIFS(GF_Budget_Detail!$E$5:$E$295,GF_Budget_Detail!$A$5:$A$295,$J$309,GF_Budget_Detail!$D$5:$D$295,"Intergovernmental")</f>
        <v/>
      </c>
      <c r="C317" s="36">
        <f>SUMIFS(GF_Budget_Detail!$F$5:$F$295,GF_Budget_Detail!$A$5:$A$295,$J$309,GF_Budget_Detail!$D$5:$D$295,"Intergovernmental")</f>
        <v/>
      </c>
      <c r="D317" s="36">
        <f>SUMIFS(GF_Budget_Detail!$G$5:$G$295,GF_Budget_Detail!$A$5:$A$295,$J$309,GF_Budget_Detail!$D$5:$D$295,"Intergovernmental")</f>
        <v/>
      </c>
      <c r="E317" s="22">
        <f>C317-B317</f>
        <v/>
      </c>
      <c r="F317" s="22">
        <f>(D317-C317)</f>
        <v/>
      </c>
      <c r="G317" s="43">
        <f>(D317-B317)</f>
        <v/>
      </c>
      <c r="H317" s="33">
        <f>IFERROR(F317/ABS(C317),0)</f>
        <v/>
      </c>
      <c r="I317" s="44">
        <f>IF(AND(ABS(F317)&gt;=$L$2,ABS(H317)&gt;=$L$3),"Explain","")</f>
        <v/>
      </c>
      <c r="J317" s="2" t="n"/>
      <c r="K317" s="2" t="n"/>
      <c r="L317" s="2" t="n"/>
    </row>
    <row r="318">
      <c r="A318" s="21" t="inlineStr">
        <is>
          <t>Charges for services</t>
        </is>
      </c>
      <c r="B318" s="36">
        <f>SUMIFS(GF_Budget_Detail!$E$5:$E$295,GF_Budget_Detail!$A$5:$A$295,$J$309,GF_Budget_Detail!$D$5:$D$295,"Charges for services")</f>
        <v/>
      </c>
      <c r="C318" s="36">
        <f>SUMIFS(GF_Budget_Detail!$F$5:$F$295,GF_Budget_Detail!$A$5:$A$295,$J$309,GF_Budget_Detail!$D$5:$D$295,"Charges for services")</f>
        <v/>
      </c>
      <c r="D318" s="36">
        <f>SUMIFS(GF_Budget_Detail!$G$5:$G$295,GF_Budget_Detail!$A$5:$A$295,$J$309,GF_Budget_Detail!$D$5:$D$295,"Charges for services")</f>
        <v/>
      </c>
      <c r="E318" s="22">
        <f>C318-B318</f>
        <v/>
      </c>
      <c r="F318" s="22">
        <f>(D318-C318)</f>
        <v/>
      </c>
      <c r="G318" s="43">
        <f>(D318-B318)</f>
        <v/>
      </c>
      <c r="H318" s="33">
        <f>IFERROR(F318/ABS(C318),0)</f>
        <v/>
      </c>
      <c r="I318" s="44">
        <f>IF(AND(ABS(F318)&gt;=$L$2,ABS(H318)&gt;=$L$3),"Explain","")</f>
        <v/>
      </c>
      <c r="J318" s="2" t="n"/>
      <c r="K318" s="2" t="n"/>
      <c r="L318" s="2" t="n"/>
    </row>
    <row r="319">
      <c r="A319" s="21" t="inlineStr">
        <is>
          <t>Other revenues</t>
        </is>
      </c>
      <c r="B319" s="36">
        <f>SUMIFS(GF_Budget_Detail!$E$5:$E$295,GF_Budget_Detail!$A$5:$A$295,$J$309,GF_Budget_Detail!$D$5:$D$295,"Other revenues")</f>
        <v/>
      </c>
      <c r="C319" s="36">
        <f>SUMIFS(GF_Budget_Detail!$F$5:$F$295,GF_Budget_Detail!$A$5:$A$295,$J$309,GF_Budget_Detail!$D$5:$D$295,"Other revenues")</f>
        <v/>
      </c>
      <c r="D319" s="36">
        <f>SUMIFS(GF_Budget_Detail!$G$5:$G$295,GF_Budget_Detail!$A$5:$A$295,$J$309,GF_Budget_Detail!$D$5:$D$295,"Other revenues")</f>
        <v/>
      </c>
      <c r="E319" s="22">
        <f>C319-B319</f>
        <v/>
      </c>
      <c r="F319" s="22">
        <f>(D319-C319)</f>
        <v/>
      </c>
      <c r="G319" s="43">
        <f>(D319-B319)</f>
        <v/>
      </c>
      <c r="H319" s="33">
        <f>IFERROR(F319/ABS(C319),0)</f>
        <v/>
      </c>
      <c r="I319" s="44">
        <f>IF(AND(ABS(F319)&gt;=$L$2,ABS(H319)&gt;=$L$3),"Explain","")</f>
        <v/>
      </c>
      <c r="J319" s="2" t="n"/>
      <c r="K319" s="2" t="n"/>
      <c r="L319" s="2" t="n"/>
    </row>
    <row r="320">
      <c r="A320" s="12" t="inlineStr">
        <is>
          <t>Total revenues</t>
        </is>
      </c>
      <c r="B320" s="24">
        <f>SUM(B311:B319)</f>
        <v/>
      </c>
      <c r="C320" s="24">
        <f>SUM(C311:C319)</f>
        <v/>
      </c>
      <c r="D320" s="24">
        <f>SUM(D311:D319)</f>
        <v/>
      </c>
      <c r="E320" s="24">
        <f>C320-B320</f>
        <v/>
      </c>
      <c r="F320" s="24">
        <f>(D320-C320)</f>
        <v/>
      </c>
      <c r="G320" s="24">
        <f>(D320-B320)</f>
        <v/>
      </c>
      <c r="H320" s="45">
        <f>IFERROR(F320/ABS(C320),0)</f>
        <v/>
      </c>
      <c r="I320" s="46">
        <f>IF(AND(ABS(F320)&gt;=$L$2,ABS(H320)&gt;=$L$3),"Explain","")</f>
        <v/>
      </c>
      <c r="J320" s="2" t="n"/>
      <c r="K320" s="2" t="n"/>
      <c r="L320" s="2" t="n"/>
    </row>
    <row r="321">
      <c r="A321" s="2" t="n"/>
      <c r="B321" s="2" t="n"/>
      <c r="C321" s="2" t="n"/>
      <c r="D321" s="2" t="n"/>
      <c r="E321" s="2" t="n"/>
      <c r="F321" s="2" t="n"/>
      <c r="G321" s="2" t="n"/>
      <c r="H321" s="2" t="n"/>
      <c r="I321" s="2" t="n"/>
      <c r="J321" s="2" t="n"/>
      <c r="K321" s="2" t="n"/>
      <c r="L321" s="2" t="n"/>
    </row>
    <row r="322">
      <c r="A322" s="21" t="inlineStr">
        <is>
          <t>General government</t>
        </is>
      </c>
      <c r="B322" s="36">
        <f>SUMIFS(GF_Budget_Detail!$E$5:$E$295,GF_Budget_Detail!$A$5:$A$295,$J$309,GF_Budget_Detail!$D$5:$D$295,"General government")</f>
        <v/>
      </c>
      <c r="C322" s="36">
        <f>SUMIFS(GF_Budget_Detail!$F$5:$F$295,GF_Budget_Detail!$A$5:$A$295,$J$309,GF_Budget_Detail!$D$5:$D$295,"General government")</f>
        <v/>
      </c>
      <c r="D322" s="36">
        <f>SUMIFS(GF_Budget_Detail!$G$5:$G$295,GF_Budget_Detail!$A$5:$A$295,$J$309,GF_Budget_Detail!$D$5:$D$295,"General government")</f>
        <v/>
      </c>
      <c r="E322" s="22">
        <f>C322-B322</f>
        <v/>
      </c>
      <c r="F322" s="22">
        <f>-(D322-C322)</f>
        <v/>
      </c>
      <c r="G322" s="43">
        <f>-(D322-B322)</f>
        <v/>
      </c>
      <c r="H322" s="33">
        <f>IFERROR(F322/ABS(C322),0)</f>
        <v/>
      </c>
      <c r="I322" s="44">
        <f>IF(AND(ABS(F322)&gt;=$L$2,ABS(H322)&gt;=$L$3),"Explain","")</f>
        <v/>
      </c>
      <c r="J322" s="2" t="n"/>
      <c r="K322" s="2" t="n"/>
      <c r="L322" s="2" t="n"/>
    </row>
    <row r="323">
      <c r="A323" s="21" t="inlineStr">
        <is>
          <t>Public works</t>
        </is>
      </c>
      <c r="B323" s="36">
        <f>SUMIFS(GF_Budget_Detail!$E$5:$E$295,GF_Budget_Detail!$A$5:$A$295,$J$309,GF_Budget_Detail!$D$5:$D$295,"Public works")</f>
        <v/>
      </c>
      <c r="C323" s="36">
        <f>SUMIFS(GF_Budget_Detail!$F$5:$F$295,GF_Budget_Detail!$A$5:$A$295,$J$309,GF_Budget_Detail!$D$5:$D$295,"Public works")</f>
        <v/>
      </c>
      <c r="D323" s="36">
        <f>SUMIFS(GF_Budget_Detail!$G$5:$G$295,GF_Budget_Detail!$A$5:$A$295,$J$309,GF_Budget_Detail!$D$5:$D$295,"Public works")</f>
        <v/>
      </c>
      <c r="E323" s="22">
        <f>C323-B323</f>
        <v/>
      </c>
      <c r="F323" s="22">
        <f>-(D323-C323)</f>
        <v/>
      </c>
      <c r="G323" s="43">
        <f>-(D323-B323)</f>
        <v/>
      </c>
      <c r="H323" s="33">
        <f>IFERROR(F323/ABS(C323),0)</f>
        <v/>
      </c>
      <c r="I323" s="44">
        <f>IF(AND(ABS(F323)&gt;=$L$2,ABS(H323)&gt;=$L$3),"Explain","")</f>
        <v/>
      </c>
      <c r="J323" s="2" t="n"/>
      <c r="K323" s="2" t="n"/>
      <c r="L323" s="2" t="n"/>
    </row>
    <row r="324">
      <c r="A324" s="21" t="inlineStr">
        <is>
          <t>Recreation</t>
        </is>
      </c>
      <c r="B324" s="36">
        <f>SUMIFS(GF_Budget_Detail!$E$5:$E$295,GF_Budget_Detail!$A$5:$A$295,$J$309,GF_Budget_Detail!$D$5:$D$295,"Recreation")</f>
        <v/>
      </c>
      <c r="C324" s="36">
        <f>SUMIFS(GF_Budget_Detail!$F$5:$F$295,GF_Budget_Detail!$A$5:$A$295,$J$309,GF_Budget_Detail!$D$5:$D$295,"Recreation")</f>
        <v/>
      </c>
      <c r="D324" s="36">
        <f>SUMIFS(GF_Budget_Detail!$G$5:$G$295,GF_Budget_Detail!$A$5:$A$295,$J$309,GF_Budget_Detail!$D$5:$D$295,"Recreation")</f>
        <v/>
      </c>
      <c r="E324" s="22">
        <f>C324-B324</f>
        <v/>
      </c>
      <c r="F324" s="22">
        <f>-(D324-C324)</f>
        <v/>
      </c>
      <c r="G324" s="43">
        <f>-(D324-B324)</f>
        <v/>
      </c>
      <c r="H324" s="33">
        <f>IFERROR(F324/ABS(C324),0)</f>
        <v/>
      </c>
      <c r="I324" s="44">
        <f>IF(AND(ABS(F324)&gt;=$L$2,ABS(H324)&gt;=$L$3),"Explain","")</f>
        <v/>
      </c>
      <c r="J324" s="2" t="n"/>
      <c r="K324" s="2" t="n"/>
      <c r="L324" s="2" t="n"/>
    </row>
    <row r="325">
      <c r="A325" s="21" t="inlineStr">
        <is>
          <t>Community development</t>
        </is>
      </c>
      <c r="B325" s="36">
        <f>SUMIFS(GF_Budget_Detail!$E$5:$E$295,GF_Budget_Detail!$A$5:$A$295,$J$309,GF_Budget_Detail!$D$5:$D$295,"Community development")</f>
        <v/>
      </c>
      <c r="C325" s="36">
        <f>SUMIFS(GF_Budget_Detail!$F$5:$F$295,GF_Budget_Detail!$A$5:$A$295,$J$309,GF_Budget_Detail!$D$5:$D$295,"Community development")</f>
        <v/>
      </c>
      <c r="D325" s="36">
        <f>SUMIFS(GF_Budget_Detail!$G$5:$G$295,GF_Budget_Detail!$A$5:$A$295,$J$309,GF_Budget_Detail!$D$5:$D$295,"Community development")</f>
        <v/>
      </c>
      <c r="E325" s="22">
        <f>C325-B325</f>
        <v/>
      </c>
      <c r="F325" s="22">
        <f>-(D325-C325)</f>
        <v/>
      </c>
      <c r="G325" s="43">
        <f>-(D325-B325)</f>
        <v/>
      </c>
      <c r="H325" s="33">
        <f>IFERROR(F325/ABS(C325),0)</f>
        <v/>
      </c>
      <c r="I325" s="44">
        <f>IF(AND(ABS(F325)&gt;=$L$2,ABS(H325)&gt;=$L$3),"Explain","")</f>
        <v/>
      </c>
      <c r="J325" s="2" t="n"/>
      <c r="K325" s="2" t="n"/>
      <c r="L325" s="2" t="n"/>
    </row>
    <row r="326">
      <c r="A326" s="21" t="inlineStr">
        <is>
          <t>Public safety - Police</t>
        </is>
      </c>
      <c r="B326" s="36">
        <f>SUMIFS(GF_Budget_Detail!$E$5:$E$295,GF_Budget_Detail!$A$5:$A$295,$J$309,GF_Budget_Detail!$D$5:$D$295,"Public safety - Police")</f>
        <v/>
      </c>
      <c r="C326" s="36">
        <f>SUMIFS(GF_Budget_Detail!$F$5:$F$295,GF_Budget_Detail!$A$5:$A$295,$J$309,GF_Budget_Detail!$D$5:$D$295,"Public safety - Police")</f>
        <v/>
      </c>
      <c r="D326" s="36">
        <f>SUMIFS(GF_Budget_Detail!$G$5:$G$295,GF_Budget_Detail!$A$5:$A$295,$J$309,GF_Budget_Detail!$D$5:$D$295,"Public safety - Police")</f>
        <v/>
      </c>
      <c r="E326" s="22">
        <f>C326-B326</f>
        <v/>
      </c>
      <c r="F326" s="22">
        <f>-(D326-C326)</f>
        <v/>
      </c>
      <c r="G326" s="43">
        <f>-(D326-B326)</f>
        <v/>
      </c>
      <c r="H326" s="33">
        <f>IFERROR(F326/ABS(C326),0)</f>
        <v/>
      </c>
      <c r="I326" s="44">
        <f>IF(AND(ABS(F326)&gt;=$L$2,ABS(H326)&gt;=$L$3),"Explain","")</f>
        <v/>
      </c>
      <c r="J326" s="2" t="n"/>
      <c r="K326" s="2" t="n"/>
      <c r="L326" s="2" t="n"/>
    </row>
    <row r="327">
      <c r="A327" s="21" t="inlineStr">
        <is>
          <t>Public safety - Fire</t>
        </is>
      </c>
      <c r="B327" s="36">
        <f>SUMIFS(GF_Budget_Detail!$E$5:$E$295,GF_Budget_Detail!$A$5:$A$295,$J$309,GF_Budget_Detail!$D$5:$D$295,"Public safety - Fire")</f>
        <v/>
      </c>
      <c r="C327" s="36">
        <f>SUMIFS(GF_Budget_Detail!$F$5:$F$295,GF_Budget_Detail!$A$5:$A$295,$J$309,GF_Budget_Detail!$D$5:$D$295,"Public safety - Fire")</f>
        <v/>
      </c>
      <c r="D327" s="36">
        <f>SUMIFS(GF_Budget_Detail!$G$5:$G$295,GF_Budget_Detail!$A$5:$A$295,$J$309,GF_Budget_Detail!$D$5:$D$295,"Public safety - Fire")</f>
        <v/>
      </c>
      <c r="E327" s="22">
        <f>C327-B327</f>
        <v/>
      </c>
      <c r="F327" s="22">
        <f>-(D327-C327)</f>
        <v/>
      </c>
      <c r="G327" s="43">
        <f>-(D327-B327)</f>
        <v/>
      </c>
      <c r="H327" s="33">
        <f>IFERROR(F327/ABS(C327),0)</f>
        <v/>
      </c>
      <c r="I327" s="44">
        <f>IF(AND(ABS(F327)&gt;=$L$2,ABS(H327)&gt;=$L$3),"Explain","")</f>
        <v/>
      </c>
      <c r="J327" s="2" t="n"/>
      <c r="K327" s="2" t="n"/>
      <c r="L327" s="2" t="n"/>
    </row>
    <row r="328">
      <c r="A328" s="21" t="inlineStr">
        <is>
          <t>Public safety (combined)</t>
        </is>
      </c>
      <c r="B328" s="36">
        <f>SUMIFS(GF_Budget_Detail!$E$5:$E$295,GF_Budget_Detail!$A$5:$A$295,$J$309,GF_Budget_Detail!$D$5:$D$295,"Public safety (combined)")</f>
        <v/>
      </c>
      <c r="C328" s="36">
        <f>SUMIFS(GF_Budget_Detail!$F$5:$F$295,GF_Budget_Detail!$A$5:$A$295,$J$309,GF_Budget_Detail!$D$5:$D$295,"Public safety (combined)")</f>
        <v/>
      </c>
      <c r="D328" s="36">
        <f>SUMIFS(GF_Budget_Detail!$G$5:$G$295,GF_Budget_Detail!$A$5:$A$295,$J$309,GF_Budget_Detail!$D$5:$D$295,"Public safety (combined)")</f>
        <v/>
      </c>
      <c r="E328" s="22">
        <f>C328-B328</f>
        <v/>
      </c>
      <c r="F328" s="22">
        <f>-(D328-C328)</f>
        <v/>
      </c>
      <c r="G328" s="43">
        <f>-(D328-B328)</f>
        <v/>
      </c>
      <c r="H328" s="33">
        <f>IFERROR(F328/ABS(C328),0)</f>
        <v/>
      </c>
      <c r="I328" s="44">
        <f>IF(AND(ABS(F328)&gt;=$L$2,ABS(H328)&gt;=$L$3),"Explain","")</f>
        <v/>
      </c>
      <c r="J328" s="2" t="n"/>
      <c r="K328" s="2" t="n"/>
      <c r="L328" s="2" t="n"/>
    </row>
    <row r="329">
      <c r="A329" s="21" t="inlineStr">
        <is>
          <t>Payment of sales tax to City of Richmond</t>
        </is>
      </c>
      <c r="B329" s="36">
        <f>SUMIFS(GF_Budget_Detail!$E$5:$E$295,GF_Budget_Detail!$A$5:$A$295,$J$309,GF_Budget_Detail!$D$5:$D$295,"Payment of sales tax to City of Richmond")</f>
        <v/>
      </c>
      <c r="C329" s="36">
        <f>SUMIFS(GF_Budget_Detail!$F$5:$F$295,GF_Budget_Detail!$A$5:$A$295,$J$309,GF_Budget_Detail!$D$5:$D$295,"Payment of sales tax to City of Richmond")</f>
        <v/>
      </c>
      <c r="D329" s="36">
        <f>SUMIFS(GF_Budget_Detail!$G$5:$G$295,GF_Budget_Detail!$A$5:$A$295,$J$309,GF_Budget_Detail!$D$5:$D$295,"Payment of sales tax to City of Richmond")</f>
        <v/>
      </c>
      <c r="E329" s="22">
        <f>C329-B329</f>
        <v/>
      </c>
      <c r="F329" s="22">
        <f>-(D329-C329)</f>
        <v/>
      </c>
      <c r="G329" s="43">
        <f>-(D329-B329)</f>
        <v/>
      </c>
      <c r="H329" s="33">
        <f>IFERROR(F329/ABS(C329),0)</f>
        <v/>
      </c>
      <c r="I329" s="44">
        <f>IF(AND(ABS(F329)&gt;=$L$2,ABS(H329)&gt;=$L$3),"Explain","")</f>
        <v/>
      </c>
      <c r="J329" s="2" t="n"/>
      <c r="K329" s="2" t="n"/>
      <c r="L329" s="2" t="n"/>
    </row>
    <row r="330">
      <c r="A330" s="21" t="inlineStr">
        <is>
          <t>Capital outlay</t>
        </is>
      </c>
      <c r="B330" s="36">
        <f>SUMIFS(GF_Budget_Detail!$E$5:$E$295,GF_Budget_Detail!$A$5:$A$295,$J$309,GF_Budget_Detail!$D$5:$D$295,"Capital outlay")</f>
        <v/>
      </c>
      <c r="C330" s="36">
        <f>SUMIFS(GF_Budget_Detail!$F$5:$F$295,GF_Budget_Detail!$A$5:$A$295,$J$309,GF_Budget_Detail!$D$5:$D$295,"Capital outlay")</f>
        <v/>
      </c>
      <c r="D330" s="36">
        <f>SUMIFS(GF_Budget_Detail!$G$5:$G$295,GF_Budget_Detail!$A$5:$A$295,$J$309,GF_Budget_Detail!$D$5:$D$295,"Capital outlay")</f>
        <v/>
      </c>
      <c r="E330" s="22">
        <f>C330-B330</f>
        <v/>
      </c>
      <c r="F330" s="22">
        <f>-(D330-C330)</f>
        <v/>
      </c>
      <c r="G330" s="43">
        <f>-(D330-B330)</f>
        <v/>
      </c>
      <c r="H330" s="33">
        <f>IFERROR(F330/ABS(C330),0)</f>
        <v/>
      </c>
      <c r="I330" s="44">
        <f>IF(AND(ABS(F330)&gt;=$L$2,ABS(H330)&gt;=$L$3),"Explain","")</f>
        <v/>
      </c>
      <c r="J330" s="2" t="n"/>
      <c r="K330" s="2" t="n"/>
      <c r="L330" s="2" t="n"/>
    </row>
    <row r="331">
      <c r="A331" s="21" t="inlineStr">
        <is>
          <t>Debt service - principal</t>
        </is>
      </c>
      <c r="B331" s="36">
        <f>SUMIFS(GF_Budget_Detail!$E$5:$E$295,GF_Budget_Detail!$A$5:$A$295,$J$309,GF_Budget_Detail!$D$5:$D$295,"Debt service - principal")</f>
        <v/>
      </c>
      <c r="C331" s="36">
        <f>SUMIFS(GF_Budget_Detail!$F$5:$F$295,GF_Budget_Detail!$A$5:$A$295,$J$309,GF_Budget_Detail!$D$5:$D$295,"Debt service - principal")</f>
        <v/>
      </c>
      <c r="D331" s="36">
        <f>SUMIFS(GF_Budget_Detail!$G$5:$G$295,GF_Budget_Detail!$A$5:$A$295,$J$309,GF_Budget_Detail!$D$5:$D$295,"Debt service - principal")</f>
        <v/>
      </c>
      <c r="E331" s="22">
        <f>C331-B331</f>
        <v/>
      </c>
      <c r="F331" s="22">
        <f>-(D331-C331)</f>
        <v/>
      </c>
      <c r="G331" s="43">
        <f>-(D331-B331)</f>
        <v/>
      </c>
      <c r="H331" s="33">
        <f>IFERROR(F331/ABS(C331),0)</f>
        <v/>
      </c>
      <c r="I331" s="44">
        <f>IF(AND(ABS(F331)&gt;=$L$2,ABS(H331)&gt;=$L$3),"Explain","")</f>
        <v/>
      </c>
      <c r="J331" s="2" t="n"/>
      <c r="K331" s="2" t="n"/>
      <c r="L331" s="2" t="n"/>
    </row>
    <row r="332">
      <c r="A332" s="21" t="inlineStr">
        <is>
          <t>Debt service - interest</t>
        </is>
      </c>
      <c r="B332" s="36">
        <f>SUMIFS(GF_Budget_Detail!$E$5:$E$295,GF_Budget_Detail!$A$5:$A$295,$J$309,GF_Budget_Detail!$D$5:$D$295,"Debt service - interest")</f>
        <v/>
      </c>
      <c r="C332" s="36">
        <f>SUMIFS(GF_Budget_Detail!$F$5:$F$295,GF_Budget_Detail!$A$5:$A$295,$J$309,GF_Budget_Detail!$D$5:$D$295,"Debt service - interest")</f>
        <v/>
      </c>
      <c r="D332" s="36">
        <f>SUMIFS(GF_Budget_Detail!$G$5:$G$295,GF_Budget_Detail!$A$5:$A$295,$J$309,GF_Budget_Detail!$D$5:$D$295,"Debt service - interest")</f>
        <v/>
      </c>
      <c r="E332" s="22">
        <f>C332-B332</f>
        <v/>
      </c>
      <c r="F332" s="22">
        <f>-(D332-C332)</f>
        <v/>
      </c>
      <c r="G332" s="43">
        <f>-(D332-B332)</f>
        <v/>
      </c>
      <c r="H332" s="33">
        <f>IFERROR(F332/ABS(C332),0)</f>
        <v/>
      </c>
      <c r="I332" s="44">
        <f>IF(AND(ABS(F332)&gt;=$L$2,ABS(H332)&gt;=$L$3),"Explain","")</f>
        <v/>
      </c>
      <c r="J332" s="2" t="n"/>
      <c r="K332" s="2" t="n"/>
      <c r="L332" s="2" t="n"/>
    </row>
    <row r="333">
      <c r="A333" s="21" t="inlineStr">
        <is>
          <t>Non-departmental (budget-report basis)</t>
        </is>
      </c>
      <c r="B333" s="36">
        <f>SUMIFS(GF_Budget_Detail!$E$5:$E$295,GF_Budget_Detail!$A$5:$A$295,$J$309,GF_Budget_Detail!$D$5:$D$295,"Non-departmental (budget-report basis)")</f>
        <v/>
      </c>
      <c r="C333" s="36">
        <f>SUMIFS(GF_Budget_Detail!$F$5:$F$295,GF_Budget_Detail!$A$5:$A$295,$J$309,GF_Budget_Detail!$D$5:$D$295,"Non-departmental (budget-report basis)")</f>
        <v/>
      </c>
      <c r="D333" s="36">
        <f>SUMIFS(GF_Budget_Detail!$G$5:$G$295,GF_Budget_Detail!$A$5:$A$295,$J$309,GF_Budget_Detail!$D$5:$D$295,"Non-departmental (budget-report basis)")</f>
        <v/>
      </c>
      <c r="E333" s="22">
        <f>C333-B333</f>
        <v/>
      </c>
      <c r="F333" s="22">
        <f>-(D333-C333)</f>
        <v/>
      </c>
      <c r="G333" s="43">
        <f>-(D333-B333)</f>
        <v/>
      </c>
      <c r="H333" s="33">
        <f>IFERROR(F333/ABS(C333),0)</f>
        <v/>
      </c>
      <c r="I333" s="44">
        <f>IF(AND(ABS(F333)&gt;=$L$2,ABS(H333)&gt;=$L$3),"Explain","")</f>
        <v/>
      </c>
      <c r="J333" s="2" t="n"/>
      <c r="K333" s="2" t="n"/>
      <c r="L333" s="2" t="n"/>
    </row>
    <row r="334">
      <c r="A334" s="21" t="inlineStr">
        <is>
          <t>Original budget not itemized by department</t>
        </is>
      </c>
      <c r="B334" s="36">
        <f>SUMIFS(GF_Budget_Detail!$E$5:$E$295,GF_Budget_Detail!$A$5:$A$295,$J$309,GF_Budget_Detail!$D$5:$D$295,"Original budget not itemized by department")</f>
        <v/>
      </c>
      <c r="C334" s="36">
        <f>SUMIFS(GF_Budget_Detail!$F$5:$F$295,GF_Budget_Detail!$A$5:$A$295,$J$309,GF_Budget_Detail!$D$5:$D$295,"Original budget not itemized by department")</f>
        <v/>
      </c>
      <c r="D334" s="36">
        <f>SUMIFS(GF_Budget_Detail!$G$5:$G$295,GF_Budget_Detail!$A$5:$A$295,$J$309,GF_Budget_Detail!$D$5:$D$295,"Original budget not itemized by department")</f>
        <v/>
      </c>
      <c r="E334" s="22">
        <f>C334-B334</f>
        <v/>
      </c>
      <c r="F334" s="22">
        <f>-(D334-C334)</f>
        <v/>
      </c>
      <c r="G334" s="43">
        <f>-(D334-B334)</f>
        <v/>
      </c>
      <c r="H334" s="33">
        <f>IFERROR(F334/ABS(C334),0)</f>
        <v/>
      </c>
      <c r="I334" s="44">
        <f>IF(AND(ABS(F334)&gt;=$L$2,ABS(H334)&gt;=$L$3),"Explain","")</f>
        <v/>
      </c>
      <c r="J334" s="2" t="n"/>
      <c r="K334" s="2" t="n"/>
      <c r="L334" s="2" t="n"/>
    </row>
    <row r="335">
      <c r="A335" s="12" t="inlineStr">
        <is>
          <t>Total expenditures</t>
        </is>
      </c>
      <c r="B335" s="24">
        <f>SUM(B322:B334)</f>
        <v/>
      </c>
      <c r="C335" s="24">
        <f>SUM(C322:C334)</f>
        <v/>
      </c>
      <c r="D335" s="24">
        <f>SUM(D322:D334)</f>
        <v/>
      </c>
      <c r="E335" s="24">
        <f>C335-B335</f>
        <v/>
      </c>
      <c r="F335" s="24">
        <f>-(D335-C335)</f>
        <v/>
      </c>
      <c r="G335" s="24">
        <f>-(D335-B335)</f>
        <v/>
      </c>
      <c r="H335" s="45">
        <f>IFERROR(F335/ABS(C335),0)</f>
        <v/>
      </c>
      <c r="I335" s="46">
        <f>IF(AND(ABS(F335)&gt;=$L$2,ABS(H335)&gt;=$L$3),"Explain","")</f>
        <v/>
      </c>
      <c r="J335" s="2" t="n"/>
      <c r="K335" s="2" t="n"/>
      <c r="L335" s="2" t="n"/>
    </row>
    <row r="336">
      <c r="A336" s="2" t="n"/>
      <c r="B336" s="2" t="n"/>
      <c r="C336" s="2" t="n"/>
      <c r="D336" s="2" t="n"/>
      <c r="E336" s="2" t="n"/>
      <c r="F336" s="2" t="n"/>
      <c r="G336" s="2" t="n"/>
      <c r="H336" s="2" t="n"/>
      <c r="I336" s="2" t="n"/>
      <c r="J336" s="2" t="n"/>
      <c r="K336" s="2" t="n"/>
      <c r="L336" s="2" t="n"/>
    </row>
    <row r="337">
      <c r="A337" s="21" t="inlineStr">
        <is>
          <t>Transfers in</t>
        </is>
      </c>
      <c r="B337" s="36">
        <f>SUMIFS(GF_Budget_Detail!$E$5:$E$295,GF_Budget_Detail!$A$5:$A$295,$J$309,GF_Budget_Detail!$D$5:$D$295,"Transfers in")</f>
        <v/>
      </c>
      <c r="C337" s="36">
        <f>SUMIFS(GF_Budget_Detail!$F$5:$F$295,GF_Budget_Detail!$A$5:$A$295,$J$309,GF_Budget_Detail!$D$5:$D$295,"Transfers in")</f>
        <v/>
      </c>
      <c r="D337" s="36">
        <f>SUMIFS(GF_Budget_Detail!$G$5:$G$295,GF_Budget_Detail!$A$5:$A$295,$J$309,GF_Budget_Detail!$D$5:$D$295,"Transfers in")</f>
        <v/>
      </c>
      <c r="E337" s="22">
        <f>C337-B337</f>
        <v/>
      </c>
      <c r="F337" s="22">
        <f>(D337-C337)</f>
        <v/>
      </c>
      <c r="G337" s="43">
        <f>(D337-B337)</f>
        <v/>
      </c>
      <c r="H337" s="33">
        <f>IFERROR(F337/ABS(C337),0)</f>
        <v/>
      </c>
      <c r="I337" s="44">
        <f>IF(AND(ABS(F337)&gt;=$L$2,ABS(H337)&gt;=$L$3),"Explain","")</f>
        <v/>
      </c>
      <c r="J337" s="2" t="n"/>
      <c r="K337" s="2" t="n"/>
      <c r="L337" s="2" t="n"/>
    </row>
    <row r="338">
      <c r="A338" s="21" t="inlineStr">
        <is>
          <t>Transfers out</t>
        </is>
      </c>
      <c r="B338" s="36">
        <f>SUMIFS(GF_Budget_Detail!$E$5:$E$295,GF_Budget_Detail!$A$5:$A$295,$J$309,GF_Budget_Detail!$D$5:$D$295,"Transfers out")</f>
        <v/>
      </c>
      <c r="C338" s="36">
        <f>SUMIFS(GF_Budget_Detail!$F$5:$F$295,GF_Budget_Detail!$A$5:$A$295,$J$309,GF_Budget_Detail!$D$5:$D$295,"Transfers out")</f>
        <v/>
      </c>
      <c r="D338" s="36">
        <f>SUMIFS(GF_Budget_Detail!$G$5:$G$295,GF_Budget_Detail!$A$5:$A$295,$J$309,GF_Budget_Detail!$D$5:$D$295,"Transfers out")</f>
        <v/>
      </c>
      <c r="E338" s="22">
        <f>C338-B338</f>
        <v/>
      </c>
      <c r="F338" s="22">
        <f>(D338-C338)</f>
        <v/>
      </c>
      <c r="G338" s="43">
        <f>(D338-B338)</f>
        <v/>
      </c>
      <c r="H338" s="33">
        <f>IFERROR(F338/ABS(C338),0)</f>
        <v/>
      </c>
      <c r="I338" s="44">
        <f>IF(AND(ABS(F338)&gt;=$L$2,ABS(H338)&gt;=$L$3),"Explain","")</f>
        <v/>
      </c>
      <c r="J338" s="2" t="n"/>
      <c r="K338" s="2" t="n"/>
      <c r="L338" s="2" t="n"/>
    </row>
    <row r="339">
      <c r="A339" s="21" t="inlineStr">
        <is>
          <t>Debt / lease financing proceeds</t>
        </is>
      </c>
      <c r="B339" s="36">
        <f>SUMIFS(GF_Budget_Detail!$E$5:$E$295,GF_Budget_Detail!$A$5:$A$295,$J$309,GF_Budget_Detail!$D$5:$D$295,"Debt / lease financing proceeds")</f>
        <v/>
      </c>
      <c r="C339" s="36">
        <f>SUMIFS(GF_Budget_Detail!$F$5:$F$295,GF_Budget_Detail!$A$5:$A$295,$J$309,GF_Budget_Detail!$D$5:$D$295,"Debt / lease financing proceeds")</f>
        <v/>
      </c>
      <c r="D339" s="36">
        <f>SUMIFS(GF_Budget_Detail!$G$5:$G$295,GF_Budget_Detail!$A$5:$A$295,$J$309,GF_Budget_Detail!$D$5:$D$295,"Debt / lease financing proceeds")</f>
        <v/>
      </c>
      <c r="E339" s="22">
        <f>C339-B339</f>
        <v/>
      </c>
      <c r="F339" s="22">
        <f>(D339-C339)</f>
        <v/>
      </c>
      <c r="G339" s="43">
        <f>(D339-B339)</f>
        <v/>
      </c>
      <c r="H339" s="33">
        <f>IFERROR(F339/ABS(C339),0)</f>
        <v/>
      </c>
      <c r="I339" s="44">
        <f>IF(AND(ABS(F339)&gt;=$L$2,ABS(H339)&gt;=$L$3),"Explain","")</f>
        <v/>
      </c>
      <c r="J339" s="2" t="n"/>
      <c r="K339" s="2" t="n"/>
      <c r="L339" s="2" t="n"/>
    </row>
    <row r="340">
      <c r="A340" s="21" t="inlineStr">
        <is>
          <t>Proceeds from sale of capital assets</t>
        </is>
      </c>
      <c r="B340" s="36">
        <f>SUMIFS(GF_Budget_Detail!$E$5:$E$295,GF_Budget_Detail!$A$5:$A$295,$J$309,GF_Budget_Detail!$D$5:$D$295,"Proceeds from sale of capital assets")</f>
        <v/>
      </c>
      <c r="C340" s="36">
        <f>SUMIFS(GF_Budget_Detail!$F$5:$F$295,GF_Budget_Detail!$A$5:$A$295,$J$309,GF_Budget_Detail!$D$5:$D$295,"Proceeds from sale of capital assets")</f>
        <v/>
      </c>
      <c r="D340" s="36">
        <f>SUMIFS(GF_Budget_Detail!$G$5:$G$295,GF_Budget_Detail!$A$5:$A$295,$J$309,GF_Budget_Detail!$D$5:$D$295,"Proceeds from sale of capital assets")</f>
        <v/>
      </c>
      <c r="E340" s="22">
        <f>C340-B340</f>
        <v/>
      </c>
      <c r="F340" s="22">
        <f>(D340-C340)</f>
        <v/>
      </c>
      <c r="G340" s="43">
        <f>(D340-B340)</f>
        <v/>
      </c>
      <c r="H340" s="33">
        <f>IFERROR(F340/ABS(C340),0)</f>
        <v/>
      </c>
      <c r="I340" s="44">
        <f>IF(AND(ABS(F340)&gt;=$L$2,ABS(H340)&gt;=$L$3),"Explain","")</f>
        <v/>
      </c>
      <c r="J340" s="2" t="n"/>
      <c r="K340" s="2" t="n"/>
      <c r="L340" s="2" t="n"/>
    </row>
    <row r="341">
      <c r="A341" s="21" t="inlineStr">
        <is>
          <t>Special items</t>
        </is>
      </c>
      <c r="B341" s="36">
        <f>SUMIFS(GF_Budget_Detail!$E$5:$E$295,GF_Budget_Detail!$A$5:$A$295,$J$309,GF_Budget_Detail!$D$5:$D$295,"Special items")</f>
        <v/>
      </c>
      <c r="C341" s="36">
        <f>SUMIFS(GF_Budget_Detail!$F$5:$F$295,GF_Budget_Detail!$A$5:$A$295,$J$309,GF_Budget_Detail!$D$5:$D$295,"Special items")</f>
        <v/>
      </c>
      <c r="D341" s="36">
        <f>SUMIFS(GF_Budget_Detail!$G$5:$G$295,GF_Budget_Detail!$A$5:$A$295,$J$309,GF_Budget_Detail!$D$5:$D$295,"Special items")</f>
        <v/>
      </c>
      <c r="E341" s="22">
        <f>C341-B341</f>
        <v/>
      </c>
      <c r="F341" s="22">
        <f>(D341-C341)</f>
        <v/>
      </c>
      <c r="G341" s="43">
        <f>(D341-B341)</f>
        <v/>
      </c>
      <c r="H341" s="33">
        <f>IFERROR(F341/ABS(C341),0)</f>
        <v/>
      </c>
      <c r="I341" s="44">
        <f>IF(AND(ABS(F341)&gt;=$L$2,ABS(H341)&gt;=$L$3),"Explain","")</f>
        <v/>
      </c>
      <c r="J341" s="2" t="n"/>
      <c r="K341" s="2" t="n"/>
      <c r="L341" s="2" t="n"/>
    </row>
    <row r="342">
      <c r="A342" s="12" t="inlineStr">
        <is>
          <t>Total other financing sources (uses) and special items</t>
        </is>
      </c>
      <c r="B342" s="24">
        <f>SUM(B337:B341)</f>
        <v/>
      </c>
      <c r="C342" s="24">
        <f>SUM(C337:C341)</f>
        <v/>
      </c>
      <c r="D342" s="24">
        <f>SUM(D337:D341)</f>
        <v/>
      </c>
      <c r="E342" s="24">
        <f>C342-B342</f>
        <v/>
      </c>
      <c r="F342" s="24">
        <f>(D342-C342)</f>
        <v/>
      </c>
      <c r="G342" s="24">
        <f>(D342-B342)</f>
        <v/>
      </c>
      <c r="H342" s="45">
        <f>IFERROR(F342/ABS(C342),0)</f>
        <v/>
      </c>
      <c r="I342" s="46">
        <f>IF(AND(ABS(F342)&gt;=$L$2,ABS(H342)&gt;=$L$3),"Explain","")</f>
        <v/>
      </c>
      <c r="J342" s="2" t="n"/>
      <c r="K342" s="2" t="n"/>
      <c r="L342" s="2" t="n"/>
    </row>
    <row r="343">
      <c r="A343" s="2" t="n"/>
      <c r="B343" s="2" t="n"/>
      <c r="C343" s="2" t="n"/>
      <c r="D343" s="2" t="n"/>
      <c r="E343" s="2" t="n"/>
      <c r="F343" s="2" t="n"/>
      <c r="G343" s="2" t="n"/>
      <c r="H343" s="2" t="n"/>
      <c r="I343" s="2" t="n"/>
      <c r="J343" s="2" t="n"/>
      <c r="K343" s="2" t="n"/>
      <c r="L343" s="2" t="n"/>
    </row>
    <row r="344">
      <c r="A344" s="12" t="inlineStr">
        <is>
          <t>Net change in fund balance</t>
        </is>
      </c>
      <c r="B344" s="31">
        <f>B320-B335+B342</f>
        <v/>
      </c>
      <c r="C344" s="31">
        <f>C320-C335+C342</f>
        <v/>
      </c>
      <c r="D344" s="31">
        <f>D320-D335+D342</f>
        <v/>
      </c>
      <c r="E344" s="31">
        <f>C344-B344</f>
        <v/>
      </c>
      <c r="F344" s="31">
        <f>D344-C344</f>
        <v/>
      </c>
      <c r="G344" s="31">
        <f>D344-B344</f>
        <v/>
      </c>
      <c r="H344" s="2" t="n"/>
      <c r="I344" s="2" t="n"/>
      <c r="J344" s="2" t="n"/>
      <c r="K344" s="2" t="n"/>
      <c r="L344" s="2" t="n"/>
    </row>
    <row r="345">
      <c r="A345" s="2" t="n"/>
      <c r="B345" s="2" t="n"/>
      <c r="C345" s="2" t="n"/>
      <c r="D345" s="2" t="n"/>
      <c r="E345" s="2" t="n"/>
      <c r="F345" s="2" t="n"/>
      <c r="G345" s="2" t="n"/>
      <c r="H345" s="2" t="n"/>
      <c r="I345" s="2" t="n"/>
      <c r="J345" s="2" t="n"/>
      <c r="K345" s="2" t="n"/>
      <c r="L345" s="2" t="n"/>
    </row>
    <row r="346">
      <c r="A346" s="2" t="n"/>
      <c r="B346" s="2" t="n"/>
      <c r="C346" s="2" t="n"/>
      <c r="D346" s="2" t="n"/>
      <c r="E346" s="2" t="n"/>
      <c r="F346" s="2" t="n"/>
      <c r="G346" s="2" t="n"/>
      <c r="H346" s="2" t="n"/>
      <c r="I346" s="2" t="n"/>
      <c r="J346" s="2" t="n"/>
      <c r="K346" s="2" t="n"/>
      <c r="L346" s="2" t="n"/>
    </row>
    <row r="347">
      <c r="A347" s="16" t="inlineStr">
        <is>
          <t>FY2022-23 (year ended June 30, 2023)  -  Budgetary comparison schedule, General Fund  -  GAAP (modified accrual) budgetary basis</t>
        </is>
      </c>
      <c r="B347" s="39" t="n"/>
      <c r="C347" s="39" t="n"/>
      <c r="D347" s="39" t="n"/>
      <c r="E347" s="39" t="n"/>
      <c r="F347" s="39" t="n"/>
      <c r="G347" s="39" t="n"/>
      <c r="H347" s="39" t="n"/>
      <c r="I347" s="39" t="n"/>
      <c r="J347" s="40" t="n">
        <v>2023</v>
      </c>
      <c r="K347" s="2" t="n"/>
      <c r="L347" s="2" t="n"/>
    </row>
    <row r="348" ht="54" customHeight="1">
      <c r="A348" s="41" t="inlineStr">
        <is>
          <t>Category</t>
        </is>
      </c>
      <c r="B348" s="41" t="inlineStr">
        <is>
          <t>Budgeted amounts - Original</t>
        </is>
      </c>
      <c r="C348" s="41" t="inlineStr">
        <is>
          <t>Budgeted amounts - Final</t>
        </is>
      </c>
      <c r="D348" s="41" t="inlineStr">
        <is>
          <t>Actual amounts (budgetary basis)</t>
        </is>
      </c>
      <c r="E348" s="41" t="inlineStr">
        <is>
          <t>Variance: Original to Final budget, increase (decrease)</t>
        </is>
      </c>
      <c r="F348" s="41" t="inlineStr">
        <is>
          <t>Variance with Final budget, positive (negative)</t>
        </is>
      </c>
      <c r="G348" s="42" t="inlineStr">
        <is>
          <t>Variance with Original budget, positive (negative) [supplementary]</t>
        </is>
      </c>
      <c r="H348" s="41" t="inlineStr">
        <is>
          <t>Variance with Final budget %</t>
        </is>
      </c>
      <c r="I348" s="41" t="inlineStr">
        <is>
          <t>Significant variance? (GASB 103 note candidate)</t>
        </is>
      </c>
      <c r="J348" s="2" t="n"/>
      <c r="K348" s="2" t="n"/>
      <c r="L348" s="2" t="n"/>
    </row>
    <row r="349">
      <c r="A349" s="21" t="inlineStr">
        <is>
          <t>Property taxes</t>
        </is>
      </c>
      <c r="B349" s="36">
        <f>SUMIFS(GF_Budget_Detail!$E$5:$E$295,GF_Budget_Detail!$A$5:$A$295,$J$347,GF_Budget_Detail!$D$5:$D$295,"Property taxes")</f>
        <v/>
      </c>
      <c r="C349" s="36">
        <f>SUMIFS(GF_Budget_Detail!$F$5:$F$295,GF_Budget_Detail!$A$5:$A$295,$J$347,GF_Budget_Detail!$D$5:$D$295,"Property taxes")</f>
        <v/>
      </c>
      <c r="D349" s="36">
        <f>SUMIFS(GF_Budget_Detail!$G$5:$G$295,GF_Budget_Detail!$A$5:$A$295,$J$347,GF_Budget_Detail!$D$5:$D$295,"Property taxes")</f>
        <v/>
      </c>
      <c r="E349" s="22">
        <f>C349-B349</f>
        <v/>
      </c>
      <c r="F349" s="22">
        <f>(D349-C349)</f>
        <v/>
      </c>
      <c r="G349" s="43">
        <f>(D349-B349)</f>
        <v/>
      </c>
      <c r="H349" s="33">
        <f>IFERROR(F349/ABS(C349),0)</f>
        <v/>
      </c>
      <c r="I349" s="44">
        <f>IF(AND(ABS(F349)&gt;=$L$2,ABS(H349)&gt;=$L$3),"Explain","")</f>
        <v/>
      </c>
      <c r="J349" s="2" t="n"/>
      <c r="K349" s="2" t="n"/>
      <c r="L349" s="2" t="n"/>
    </row>
    <row r="350">
      <c r="A350" s="21" t="inlineStr">
        <is>
          <t>Taxes other than property</t>
        </is>
      </c>
      <c r="B350" s="36">
        <f>SUMIFS(GF_Budget_Detail!$E$5:$E$295,GF_Budget_Detail!$A$5:$A$295,$J$347,GF_Budget_Detail!$D$5:$D$295,"Taxes other than property")</f>
        <v/>
      </c>
      <c r="C350" s="36">
        <f>SUMIFS(GF_Budget_Detail!$F$5:$F$295,GF_Budget_Detail!$A$5:$A$295,$J$347,GF_Budget_Detail!$D$5:$D$295,"Taxes other than property")</f>
        <v/>
      </c>
      <c r="D350" s="36">
        <f>SUMIFS(GF_Budget_Detail!$G$5:$G$295,GF_Budget_Detail!$A$5:$A$295,$J$347,GF_Budget_Detail!$D$5:$D$295,"Taxes other than property")</f>
        <v/>
      </c>
      <c r="E350" s="22">
        <f>C350-B350</f>
        <v/>
      </c>
      <c r="F350" s="22">
        <f>(D350-C350)</f>
        <v/>
      </c>
      <c r="G350" s="43">
        <f>(D350-B350)</f>
        <v/>
      </c>
      <c r="H350" s="33">
        <f>IFERROR(F350/ABS(C350),0)</f>
        <v/>
      </c>
      <c r="I350" s="44">
        <f>IF(AND(ABS(F350)&gt;=$L$2,ABS(H350)&gt;=$L$3),"Explain","")</f>
        <v/>
      </c>
      <c r="J350" s="2" t="n"/>
      <c r="K350" s="2" t="n"/>
      <c r="L350" s="2" t="n"/>
    </row>
    <row r="351">
      <c r="A351" s="21" t="inlineStr">
        <is>
          <t>Taxes and assessments (combined)</t>
        </is>
      </c>
      <c r="B351" s="36">
        <f>SUMIFS(GF_Budget_Detail!$E$5:$E$295,GF_Budget_Detail!$A$5:$A$295,$J$347,GF_Budget_Detail!$D$5:$D$295,"Taxes and assessments (combined)")</f>
        <v/>
      </c>
      <c r="C351" s="36">
        <f>SUMIFS(GF_Budget_Detail!$F$5:$F$295,GF_Budget_Detail!$A$5:$A$295,$J$347,GF_Budget_Detail!$D$5:$D$295,"Taxes and assessments (combined)")</f>
        <v/>
      </c>
      <c r="D351" s="36">
        <f>SUMIFS(GF_Budget_Detail!$G$5:$G$295,GF_Budget_Detail!$A$5:$A$295,$J$347,GF_Budget_Detail!$D$5:$D$295,"Taxes and assessments (combined)")</f>
        <v/>
      </c>
      <c r="E351" s="22">
        <f>C351-B351</f>
        <v/>
      </c>
      <c r="F351" s="22">
        <f>(D351-C351)</f>
        <v/>
      </c>
      <c r="G351" s="43">
        <f>(D351-B351)</f>
        <v/>
      </c>
      <c r="H351" s="33">
        <f>IFERROR(F351/ABS(C351),0)</f>
        <v/>
      </c>
      <c r="I351" s="44">
        <f>IF(AND(ABS(F351)&gt;=$L$2,ABS(H351)&gt;=$L$3),"Explain","")</f>
        <v/>
      </c>
      <c r="J351" s="2" t="n"/>
      <c r="K351" s="2" t="n"/>
      <c r="L351" s="2" t="n"/>
    </row>
    <row r="352">
      <c r="A352" s="21" t="inlineStr">
        <is>
          <t>Licenses and permits</t>
        </is>
      </c>
      <c r="B352" s="36">
        <f>SUMIFS(GF_Budget_Detail!$E$5:$E$295,GF_Budget_Detail!$A$5:$A$295,$J$347,GF_Budget_Detail!$D$5:$D$295,"Licenses and permits")</f>
        <v/>
      </c>
      <c r="C352" s="36">
        <f>SUMIFS(GF_Budget_Detail!$F$5:$F$295,GF_Budget_Detail!$A$5:$A$295,$J$347,GF_Budget_Detail!$D$5:$D$295,"Licenses and permits")</f>
        <v/>
      </c>
      <c r="D352" s="36">
        <f>SUMIFS(GF_Budget_Detail!$G$5:$G$295,GF_Budget_Detail!$A$5:$A$295,$J$347,GF_Budget_Detail!$D$5:$D$295,"Licenses and permits")</f>
        <v/>
      </c>
      <c r="E352" s="22">
        <f>C352-B352</f>
        <v/>
      </c>
      <c r="F352" s="22">
        <f>(D352-C352)</f>
        <v/>
      </c>
      <c r="G352" s="43">
        <f>(D352-B352)</f>
        <v/>
      </c>
      <c r="H352" s="33">
        <f>IFERROR(F352/ABS(C352),0)</f>
        <v/>
      </c>
      <c r="I352" s="44">
        <f>IF(AND(ABS(F352)&gt;=$L$2,ABS(H352)&gt;=$L$3),"Explain","")</f>
        <v/>
      </c>
      <c r="J352" s="2" t="n"/>
      <c r="K352" s="2" t="n"/>
      <c r="L352" s="2" t="n"/>
    </row>
    <row r="353">
      <c r="A353" s="21" t="inlineStr">
        <is>
          <t>Fines and forfeitures</t>
        </is>
      </c>
      <c r="B353" s="36">
        <f>SUMIFS(GF_Budget_Detail!$E$5:$E$295,GF_Budget_Detail!$A$5:$A$295,$J$347,GF_Budget_Detail!$D$5:$D$295,"Fines and forfeitures")</f>
        <v/>
      </c>
      <c r="C353" s="36">
        <f>SUMIFS(GF_Budget_Detail!$F$5:$F$295,GF_Budget_Detail!$A$5:$A$295,$J$347,GF_Budget_Detail!$D$5:$D$295,"Fines and forfeitures")</f>
        <v/>
      </c>
      <c r="D353" s="36">
        <f>SUMIFS(GF_Budget_Detail!$G$5:$G$295,GF_Budget_Detail!$A$5:$A$295,$J$347,GF_Budget_Detail!$D$5:$D$295,"Fines and forfeitures")</f>
        <v/>
      </c>
      <c r="E353" s="22">
        <f>C353-B353</f>
        <v/>
      </c>
      <c r="F353" s="22">
        <f>(D353-C353)</f>
        <v/>
      </c>
      <c r="G353" s="43">
        <f>(D353-B353)</f>
        <v/>
      </c>
      <c r="H353" s="33">
        <f>IFERROR(F353/ABS(C353),0)</f>
        <v/>
      </c>
      <c r="I353" s="44">
        <f>IF(AND(ABS(F353)&gt;=$L$2,ABS(H353)&gt;=$L$3),"Explain","")</f>
        <v/>
      </c>
      <c r="J353" s="2" t="n"/>
      <c r="K353" s="2" t="n"/>
      <c r="L353" s="2" t="n"/>
    </row>
    <row r="354">
      <c r="A354" s="21" t="inlineStr">
        <is>
          <t>Use of money and property</t>
        </is>
      </c>
      <c r="B354" s="36">
        <f>SUMIFS(GF_Budget_Detail!$E$5:$E$295,GF_Budget_Detail!$A$5:$A$295,$J$347,GF_Budget_Detail!$D$5:$D$295,"Use of money and property")</f>
        <v/>
      </c>
      <c r="C354" s="36">
        <f>SUMIFS(GF_Budget_Detail!$F$5:$F$295,GF_Budget_Detail!$A$5:$A$295,$J$347,GF_Budget_Detail!$D$5:$D$295,"Use of money and property")</f>
        <v/>
      </c>
      <c r="D354" s="36">
        <f>SUMIFS(GF_Budget_Detail!$G$5:$G$295,GF_Budget_Detail!$A$5:$A$295,$J$347,GF_Budget_Detail!$D$5:$D$295,"Use of money and property")</f>
        <v/>
      </c>
      <c r="E354" s="22">
        <f>C354-B354</f>
        <v/>
      </c>
      <c r="F354" s="22">
        <f>(D354-C354)</f>
        <v/>
      </c>
      <c r="G354" s="43">
        <f>(D354-B354)</f>
        <v/>
      </c>
      <c r="H354" s="33">
        <f>IFERROR(F354/ABS(C354),0)</f>
        <v/>
      </c>
      <c r="I354" s="44">
        <f>IF(AND(ABS(F354)&gt;=$L$2,ABS(H354)&gt;=$L$3),"Explain","")</f>
        <v/>
      </c>
      <c r="J354" s="2" t="n"/>
      <c r="K354" s="2" t="n"/>
      <c r="L354" s="2" t="n"/>
    </row>
    <row r="355">
      <c r="A355" s="21" t="inlineStr">
        <is>
          <t>Intergovernmental</t>
        </is>
      </c>
      <c r="B355" s="36">
        <f>SUMIFS(GF_Budget_Detail!$E$5:$E$295,GF_Budget_Detail!$A$5:$A$295,$J$347,GF_Budget_Detail!$D$5:$D$295,"Intergovernmental")</f>
        <v/>
      </c>
      <c r="C355" s="36">
        <f>SUMIFS(GF_Budget_Detail!$F$5:$F$295,GF_Budget_Detail!$A$5:$A$295,$J$347,GF_Budget_Detail!$D$5:$D$295,"Intergovernmental")</f>
        <v/>
      </c>
      <c r="D355" s="36">
        <f>SUMIFS(GF_Budget_Detail!$G$5:$G$295,GF_Budget_Detail!$A$5:$A$295,$J$347,GF_Budget_Detail!$D$5:$D$295,"Intergovernmental")</f>
        <v/>
      </c>
      <c r="E355" s="22">
        <f>C355-B355</f>
        <v/>
      </c>
      <c r="F355" s="22">
        <f>(D355-C355)</f>
        <v/>
      </c>
      <c r="G355" s="43">
        <f>(D355-B355)</f>
        <v/>
      </c>
      <c r="H355" s="33">
        <f>IFERROR(F355/ABS(C355),0)</f>
        <v/>
      </c>
      <c r="I355" s="44">
        <f>IF(AND(ABS(F355)&gt;=$L$2,ABS(H355)&gt;=$L$3),"Explain","")</f>
        <v/>
      </c>
      <c r="J355" s="2" t="n"/>
      <c r="K355" s="2" t="n"/>
      <c r="L355" s="2" t="n"/>
    </row>
    <row r="356">
      <c r="A356" s="21" t="inlineStr">
        <is>
          <t>Charges for services</t>
        </is>
      </c>
      <c r="B356" s="36">
        <f>SUMIFS(GF_Budget_Detail!$E$5:$E$295,GF_Budget_Detail!$A$5:$A$295,$J$347,GF_Budget_Detail!$D$5:$D$295,"Charges for services")</f>
        <v/>
      </c>
      <c r="C356" s="36">
        <f>SUMIFS(GF_Budget_Detail!$F$5:$F$295,GF_Budget_Detail!$A$5:$A$295,$J$347,GF_Budget_Detail!$D$5:$D$295,"Charges for services")</f>
        <v/>
      </c>
      <c r="D356" s="36">
        <f>SUMIFS(GF_Budget_Detail!$G$5:$G$295,GF_Budget_Detail!$A$5:$A$295,$J$347,GF_Budget_Detail!$D$5:$D$295,"Charges for services")</f>
        <v/>
      </c>
      <c r="E356" s="22">
        <f>C356-B356</f>
        <v/>
      </c>
      <c r="F356" s="22">
        <f>(D356-C356)</f>
        <v/>
      </c>
      <c r="G356" s="43">
        <f>(D356-B356)</f>
        <v/>
      </c>
      <c r="H356" s="33">
        <f>IFERROR(F356/ABS(C356),0)</f>
        <v/>
      </c>
      <c r="I356" s="44">
        <f>IF(AND(ABS(F356)&gt;=$L$2,ABS(H356)&gt;=$L$3),"Explain","")</f>
        <v/>
      </c>
      <c r="J356" s="2" t="n"/>
      <c r="K356" s="2" t="n"/>
      <c r="L356" s="2" t="n"/>
    </row>
    <row r="357">
      <c r="A357" s="21" t="inlineStr">
        <is>
          <t>Other revenues</t>
        </is>
      </c>
      <c r="B357" s="36">
        <f>SUMIFS(GF_Budget_Detail!$E$5:$E$295,GF_Budget_Detail!$A$5:$A$295,$J$347,GF_Budget_Detail!$D$5:$D$295,"Other revenues")</f>
        <v/>
      </c>
      <c r="C357" s="36">
        <f>SUMIFS(GF_Budget_Detail!$F$5:$F$295,GF_Budget_Detail!$A$5:$A$295,$J$347,GF_Budget_Detail!$D$5:$D$295,"Other revenues")</f>
        <v/>
      </c>
      <c r="D357" s="36">
        <f>SUMIFS(GF_Budget_Detail!$G$5:$G$295,GF_Budget_Detail!$A$5:$A$295,$J$347,GF_Budget_Detail!$D$5:$D$295,"Other revenues")</f>
        <v/>
      </c>
      <c r="E357" s="22">
        <f>C357-B357</f>
        <v/>
      </c>
      <c r="F357" s="22">
        <f>(D357-C357)</f>
        <v/>
      </c>
      <c r="G357" s="43">
        <f>(D357-B357)</f>
        <v/>
      </c>
      <c r="H357" s="33">
        <f>IFERROR(F357/ABS(C357),0)</f>
        <v/>
      </c>
      <c r="I357" s="44">
        <f>IF(AND(ABS(F357)&gt;=$L$2,ABS(H357)&gt;=$L$3),"Explain","")</f>
        <v/>
      </c>
      <c r="J357" s="2" t="n"/>
      <c r="K357" s="2" t="n"/>
      <c r="L357" s="2" t="n"/>
    </row>
    <row r="358">
      <c r="A358" s="12" t="inlineStr">
        <is>
          <t>Total revenues</t>
        </is>
      </c>
      <c r="B358" s="24">
        <f>SUM(B349:B357)</f>
        <v/>
      </c>
      <c r="C358" s="24">
        <f>SUM(C349:C357)</f>
        <v/>
      </c>
      <c r="D358" s="24">
        <f>SUM(D349:D357)</f>
        <v/>
      </c>
      <c r="E358" s="24">
        <f>C358-B358</f>
        <v/>
      </c>
      <c r="F358" s="24">
        <f>(D358-C358)</f>
        <v/>
      </c>
      <c r="G358" s="24">
        <f>(D358-B358)</f>
        <v/>
      </c>
      <c r="H358" s="45">
        <f>IFERROR(F358/ABS(C358),0)</f>
        <v/>
      </c>
      <c r="I358" s="46">
        <f>IF(AND(ABS(F358)&gt;=$L$2,ABS(H358)&gt;=$L$3),"Explain","")</f>
        <v/>
      </c>
      <c r="J358" s="2" t="n"/>
      <c r="K358" s="2" t="n"/>
      <c r="L358" s="2" t="n"/>
    </row>
    <row r="359">
      <c r="A359" s="2" t="n"/>
      <c r="B359" s="2" t="n"/>
      <c r="C359" s="2" t="n"/>
      <c r="D359" s="2" t="n"/>
      <c r="E359" s="2" t="n"/>
      <c r="F359" s="2" t="n"/>
      <c r="G359" s="2" t="n"/>
      <c r="H359" s="2" t="n"/>
      <c r="I359" s="2" t="n"/>
      <c r="J359" s="2" t="n"/>
      <c r="K359" s="2" t="n"/>
      <c r="L359" s="2" t="n"/>
    </row>
    <row r="360">
      <c r="A360" s="21" t="inlineStr">
        <is>
          <t>General government</t>
        </is>
      </c>
      <c r="B360" s="36">
        <f>SUMIFS(GF_Budget_Detail!$E$5:$E$295,GF_Budget_Detail!$A$5:$A$295,$J$347,GF_Budget_Detail!$D$5:$D$295,"General government")</f>
        <v/>
      </c>
      <c r="C360" s="36">
        <f>SUMIFS(GF_Budget_Detail!$F$5:$F$295,GF_Budget_Detail!$A$5:$A$295,$J$347,GF_Budget_Detail!$D$5:$D$295,"General government")</f>
        <v/>
      </c>
      <c r="D360" s="36">
        <f>SUMIFS(GF_Budget_Detail!$G$5:$G$295,GF_Budget_Detail!$A$5:$A$295,$J$347,GF_Budget_Detail!$D$5:$D$295,"General government")</f>
        <v/>
      </c>
      <c r="E360" s="22">
        <f>C360-B360</f>
        <v/>
      </c>
      <c r="F360" s="22">
        <f>-(D360-C360)</f>
        <v/>
      </c>
      <c r="G360" s="43">
        <f>-(D360-B360)</f>
        <v/>
      </c>
      <c r="H360" s="33">
        <f>IFERROR(F360/ABS(C360),0)</f>
        <v/>
      </c>
      <c r="I360" s="44">
        <f>IF(AND(ABS(F360)&gt;=$L$2,ABS(H360)&gt;=$L$3),"Explain","")</f>
        <v/>
      </c>
      <c r="J360" s="2" t="n"/>
      <c r="K360" s="2" t="n"/>
      <c r="L360" s="2" t="n"/>
    </row>
    <row r="361">
      <c r="A361" s="21" t="inlineStr">
        <is>
          <t>Public works</t>
        </is>
      </c>
      <c r="B361" s="36">
        <f>SUMIFS(GF_Budget_Detail!$E$5:$E$295,GF_Budget_Detail!$A$5:$A$295,$J$347,GF_Budget_Detail!$D$5:$D$295,"Public works")</f>
        <v/>
      </c>
      <c r="C361" s="36">
        <f>SUMIFS(GF_Budget_Detail!$F$5:$F$295,GF_Budget_Detail!$A$5:$A$295,$J$347,GF_Budget_Detail!$D$5:$D$295,"Public works")</f>
        <v/>
      </c>
      <c r="D361" s="36">
        <f>SUMIFS(GF_Budget_Detail!$G$5:$G$295,GF_Budget_Detail!$A$5:$A$295,$J$347,GF_Budget_Detail!$D$5:$D$295,"Public works")</f>
        <v/>
      </c>
      <c r="E361" s="22">
        <f>C361-B361</f>
        <v/>
      </c>
      <c r="F361" s="22">
        <f>-(D361-C361)</f>
        <v/>
      </c>
      <c r="G361" s="43">
        <f>-(D361-B361)</f>
        <v/>
      </c>
      <c r="H361" s="33">
        <f>IFERROR(F361/ABS(C361),0)</f>
        <v/>
      </c>
      <c r="I361" s="44">
        <f>IF(AND(ABS(F361)&gt;=$L$2,ABS(H361)&gt;=$L$3),"Explain","")</f>
        <v/>
      </c>
      <c r="J361" s="2" t="n"/>
      <c r="K361" s="2" t="n"/>
      <c r="L361" s="2" t="n"/>
    </row>
    <row r="362">
      <c r="A362" s="21" t="inlineStr">
        <is>
          <t>Recreation</t>
        </is>
      </c>
      <c r="B362" s="36">
        <f>SUMIFS(GF_Budget_Detail!$E$5:$E$295,GF_Budget_Detail!$A$5:$A$295,$J$347,GF_Budget_Detail!$D$5:$D$295,"Recreation")</f>
        <v/>
      </c>
      <c r="C362" s="36">
        <f>SUMIFS(GF_Budget_Detail!$F$5:$F$295,GF_Budget_Detail!$A$5:$A$295,$J$347,GF_Budget_Detail!$D$5:$D$295,"Recreation")</f>
        <v/>
      </c>
      <c r="D362" s="36">
        <f>SUMIFS(GF_Budget_Detail!$G$5:$G$295,GF_Budget_Detail!$A$5:$A$295,$J$347,GF_Budget_Detail!$D$5:$D$295,"Recreation")</f>
        <v/>
      </c>
      <c r="E362" s="22">
        <f>C362-B362</f>
        <v/>
      </c>
      <c r="F362" s="22">
        <f>-(D362-C362)</f>
        <v/>
      </c>
      <c r="G362" s="43">
        <f>-(D362-B362)</f>
        <v/>
      </c>
      <c r="H362" s="33">
        <f>IFERROR(F362/ABS(C362),0)</f>
        <v/>
      </c>
      <c r="I362" s="44">
        <f>IF(AND(ABS(F362)&gt;=$L$2,ABS(H362)&gt;=$L$3),"Explain","")</f>
        <v/>
      </c>
      <c r="J362" s="2" t="n"/>
      <c r="K362" s="2" t="n"/>
      <c r="L362" s="2" t="n"/>
    </row>
    <row r="363">
      <c r="A363" s="21" t="inlineStr">
        <is>
          <t>Community development</t>
        </is>
      </c>
      <c r="B363" s="36">
        <f>SUMIFS(GF_Budget_Detail!$E$5:$E$295,GF_Budget_Detail!$A$5:$A$295,$J$347,GF_Budget_Detail!$D$5:$D$295,"Community development")</f>
        <v/>
      </c>
      <c r="C363" s="36">
        <f>SUMIFS(GF_Budget_Detail!$F$5:$F$295,GF_Budget_Detail!$A$5:$A$295,$J$347,GF_Budget_Detail!$D$5:$D$295,"Community development")</f>
        <v/>
      </c>
      <c r="D363" s="36">
        <f>SUMIFS(GF_Budget_Detail!$G$5:$G$295,GF_Budget_Detail!$A$5:$A$295,$J$347,GF_Budget_Detail!$D$5:$D$295,"Community development")</f>
        <v/>
      </c>
      <c r="E363" s="22">
        <f>C363-B363</f>
        <v/>
      </c>
      <c r="F363" s="22">
        <f>-(D363-C363)</f>
        <v/>
      </c>
      <c r="G363" s="43">
        <f>-(D363-B363)</f>
        <v/>
      </c>
      <c r="H363" s="33">
        <f>IFERROR(F363/ABS(C363),0)</f>
        <v/>
      </c>
      <c r="I363" s="44">
        <f>IF(AND(ABS(F363)&gt;=$L$2,ABS(H363)&gt;=$L$3),"Explain","")</f>
        <v/>
      </c>
      <c r="J363" s="2" t="n"/>
      <c r="K363" s="2" t="n"/>
      <c r="L363" s="2" t="n"/>
    </row>
    <row r="364">
      <c r="A364" s="21" t="inlineStr">
        <is>
          <t>Public safety - Police</t>
        </is>
      </c>
      <c r="B364" s="36">
        <f>SUMIFS(GF_Budget_Detail!$E$5:$E$295,GF_Budget_Detail!$A$5:$A$295,$J$347,GF_Budget_Detail!$D$5:$D$295,"Public safety - Police")</f>
        <v/>
      </c>
      <c r="C364" s="36">
        <f>SUMIFS(GF_Budget_Detail!$F$5:$F$295,GF_Budget_Detail!$A$5:$A$295,$J$347,GF_Budget_Detail!$D$5:$D$295,"Public safety - Police")</f>
        <v/>
      </c>
      <c r="D364" s="36">
        <f>SUMIFS(GF_Budget_Detail!$G$5:$G$295,GF_Budget_Detail!$A$5:$A$295,$J$347,GF_Budget_Detail!$D$5:$D$295,"Public safety - Police")</f>
        <v/>
      </c>
      <c r="E364" s="22">
        <f>C364-B364</f>
        <v/>
      </c>
      <c r="F364" s="22">
        <f>-(D364-C364)</f>
        <v/>
      </c>
      <c r="G364" s="43">
        <f>-(D364-B364)</f>
        <v/>
      </c>
      <c r="H364" s="33">
        <f>IFERROR(F364/ABS(C364),0)</f>
        <v/>
      </c>
      <c r="I364" s="44">
        <f>IF(AND(ABS(F364)&gt;=$L$2,ABS(H364)&gt;=$L$3),"Explain","")</f>
        <v/>
      </c>
      <c r="J364" s="2" t="n"/>
      <c r="K364" s="2" t="n"/>
      <c r="L364" s="2" t="n"/>
    </row>
    <row r="365">
      <c r="A365" s="21" t="inlineStr">
        <is>
          <t>Public safety - Fire</t>
        </is>
      </c>
      <c r="B365" s="36">
        <f>SUMIFS(GF_Budget_Detail!$E$5:$E$295,GF_Budget_Detail!$A$5:$A$295,$J$347,GF_Budget_Detail!$D$5:$D$295,"Public safety - Fire")</f>
        <v/>
      </c>
      <c r="C365" s="36">
        <f>SUMIFS(GF_Budget_Detail!$F$5:$F$295,GF_Budget_Detail!$A$5:$A$295,$J$347,GF_Budget_Detail!$D$5:$D$295,"Public safety - Fire")</f>
        <v/>
      </c>
      <c r="D365" s="36">
        <f>SUMIFS(GF_Budget_Detail!$G$5:$G$295,GF_Budget_Detail!$A$5:$A$295,$J$347,GF_Budget_Detail!$D$5:$D$295,"Public safety - Fire")</f>
        <v/>
      </c>
      <c r="E365" s="22">
        <f>C365-B365</f>
        <v/>
      </c>
      <c r="F365" s="22">
        <f>-(D365-C365)</f>
        <v/>
      </c>
      <c r="G365" s="43">
        <f>-(D365-B365)</f>
        <v/>
      </c>
      <c r="H365" s="33">
        <f>IFERROR(F365/ABS(C365),0)</f>
        <v/>
      </c>
      <c r="I365" s="44">
        <f>IF(AND(ABS(F365)&gt;=$L$2,ABS(H365)&gt;=$L$3),"Explain","")</f>
        <v/>
      </c>
      <c r="J365" s="2" t="n"/>
      <c r="K365" s="2" t="n"/>
      <c r="L365" s="2" t="n"/>
    </row>
    <row r="366">
      <c r="A366" s="21" t="inlineStr">
        <is>
          <t>Public safety (combined)</t>
        </is>
      </c>
      <c r="B366" s="36">
        <f>SUMIFS(GF_Budget_Detail!$E$5:$E$295,GF_Budget_Detail!$A$5:$A$295,$J$347,GF_Budget_Detail!$D$5:$D$295,"Public safety (combined)")</f>
        <v/>
      </c>
      <c r="C366" s="36">
        <f>SUMIFS(GF_Budget_Detail!$F$5:$F$295,GF_Budget_Detail!$A$5:$A$295,$J$347,GF_Budget_Detail!$D$5:$D$295,"Public safety (combined)")</f>
        <v/>
      </c>
      <c r="D366" s="36">
        <f>SUMIFS(GF_Budget_Detail!$G$5:$G$295,GF_Budget_Detail!$A$5:$A$295,$J$347,GF_Budget_Detail!$D$5:$D$295,"Public safety (combined)")</f>
        <v/>
      </c>
      <c r="E366" s="22">
        <f>C366-B366</f>
        <v/>
      </c>
      <c r="F366" s="22">
        <f>-(D366-C366)</f>
        <v/>
      </c>
      <c r="G366" s="43">
        <f>-(D366-B366)</f>
        <v/>
      </c>
      <c r="H366" s="33">
        <f>IFERROR(F366/ABS(C366),0)</f>
        <v/>
      </c>
      <c r="I366" s="44">
        <f>IF(AND(ABS(F366)&gt;=$L$2,ABS(H366)&gt;=$L$3),"Explain","")</f>
        <v/>
      </c>
      <c r="J366" s="2" t="n"/>
      <c r="K366" s="2" t="n"/>
      <c r="L366" s="2" t="n"/>
    </row>
    <row r="367">
      <c r="A367" s="21" t="inlineStr">
        <is>
          <t>Payment of sales tax to City of Richmond</t>
        </is>
      </c>
      <c r="B367" s="36">
        <f>SUMIFS(GF_Budget_Detail!$E$5:$E$295,GF_Budget_Detail!$A$5:$A$295,$J$347,GF_Budget_Detail!$D$5:$D$295,"Payment of sales tax to City of Richmond")</f>
        <v/>
      </c>
      <c r="C367" s="36">
        <f>SUMIFS(GF_Budget_Detail!$F$5:$F$295,GF_Budget_Detail!$A$5:$A$295,$J$347,GF_Budget_Detail!$D$5:$D$295,"Payment of sales tax to City of Richmond")</f>
        <v/>
      </c>
      <c r="D367" s="36">
        <f>SUMIFS(GF_Budget_Detail!$G$5:$G$295,GF_Budget_Detail!$A$5:$A$295,$J$347,GF_Budget_Detail!$D$5:$D$295,"Payment of sales tax to City of Richmond")</f>
        <v/>
      </c>
      <c r="E367" s="22">
        <f>C367-B367</f>
        <v/>
      </c>
      <c r="F367" s="22">
        <f>-(D367-C367)</f>
        <v/>
      </c>
      <c r="G367" s="43">
        <f>-(D367-B367)</f>
        <v/>
      </c>
      <c r="H367" s="33">
        <f>IFERROR(F367/ABS(C367),0)</f>
        <v/>
      </c>
      <c r="I367" s="44">
        <f>IF(AND(ABS(F367)&gt;=$L$2,ABS(H367)&gt;=$L$3),"Explain","")</f>
        <v/>
      </c>
      <c r="J367" s="2" t="n"/>
      <c r="K367" s="2" t="n"/>
      <c r="L367" s="2" t="n"/>
    </row>
    <row r="368">
      <c r="A368" s="21" t="inlineStr">
        <is>
          <t>Capital outlay</t>
        </is>
      </c>
      <c r="B368" s="36">
        <f>SUMIFS(GF_Budget_Detail!$E$5:$E$295,GF_Budget_Detail!$A$5:$A$295,$J$347,GF_Budget_Detail!$D$5:$D$295,"Capital outlay")</f>
        <v/>
      </c>
      <c r="C368" s="36">
        <f>SUMIFS(GF_Budget_Detail!$F$5:$F$295,GF_Budget_Detail!$A$5:$A$295,$J$347,GF_Budget_Detail!$D$5:$D$295,"Capital outlay")</f>
        <v/>
      </c>
      <c r="D368" s="36">
        <f>SUMIFS(GF_Budget_Detail!$G$5:$G$295,GF_Budget_Detail!$A$5:$A$295,$J$347,GF_Budget_Detail!$D$5:$D$295,"Capital outlay")</f>
        <v/>
      </c>
      <c r="E368" s="22">
        <f>C368-B368</f>
        <v/>
      </c>
      <c r="F368" s="22">
        <f>-(D368-C368)</f>
        <v/>
      </c>
      <c r="G368" s="43">
        <f>-(D368-B368)</f>
        <v/>
      </c>
      <c r="H368" s="33">
        <f>IFERROR(F368/ABS(C368),0)</f>
        <v/>
      </c>
      <c r="I368" s="44">
        <f>IF(AND(ABS(F368)&gt;=$L$2,ABS(H368)&gt;=$L$3),"Explain","")</f>
        <v/>
      </c>
      <c r="J368" s="2" t="n"/>
      <c r="K368" s="2" t="n"/>
      <c r="L368" s="2" t="n"/>
    </row>
    <row r="369">
      <c r="A369" s="21" t="inlineStr">
        <is>
          <t>Debt service - principal</t>
        </is>
      </c>
      <c r="B369" s="36">
        <f>SUMIFS(GF_Budget_Detail!$E$5:$E$295,GF_Budget_Detail!$A$5:$A$295,$J$347,GF_Budget_Detail!$D$5:$D$295,"Debt service - principal")</f>
        <v/>
      </c>
      <c r="C369" s="36">
        <f>SUMIFS(GF_Budget_Detail!$F$5:$F$295,GF_Budget_Detail!$A$5:$A$295,$J$347,GF_Budget_Detail!$D$5:$D$295,"Debt service - principal")</f>
        <v/>
      </c>
      <c r="D369" s="36">
        <f>SUMIFS(GF_Budget_Detail!$G$5:$G$295,GF_Budget_Detail!$A$5:$A$295,$J$347,GF_Budget_Detail!$D$5:$D$295,"Debt service - principal")</f>
        <v/>
      </c>
      <c r="E369" s="22">
        <f>C369-B369</f>
        <v/>
      </c>
      <c r="F369" s="22">
        <f>-(D369-C369)</f>
        <v/>
      </c>
      <c r="G369" s="43">
        <f>-(D369-B369)</f>
        <v/>
      </c>
      <c r="H369" s="33">
        <f>IFERROR(F369/ABS(C369),0)</f>
        <v/>
      </c>
      <c r="I369" s="44">
        <f>IF(AND(ABS(F369)&gt;=$L$2,ABS(H369)&gt;=$L$3),"Explain","")</f>
        <v/>
      </c>
      <c r="J369" s="2" t="n"/>
      <c r="K369" s="2" t="n"/>
      <c r="L369" s="2" t="n"/>
    </row>
    <row r="370">
      <c r="A370" s="21" t="inlineStr">
        <is>
          <t>Debt service - interest</t>
        </is>
      </c>
      <c r="B370" s="36">
        <f>SUMIFS(GF_Budget_Detail!$E$5:$E$295,GF_Budget_Detail!$A$5:$A$295,$J$347,GF_Budget_Detail!$D$5:$D$295,"Debt service - interest")</f>
        <v/>
      </c>
      <c r="C370" s="36">
        <f>SUMIFS(GF_Budget_Detail!$F$5:$F$295,GF_Budget_Detail!$A$5:$A$295,$J$347,GF_Budget_Detail!$D$5:$D$295,"Debt service - interest")</f>
        <v/>
      </c>
      <c r="D370" s="36">
        <f>SUMIFS(GF_Budget_Detail!$G$5:$G$295,GF_Budget_Detail!$A$5:$A$295,$J$347,GF_Budget_Detail!$D$5:$D$295,"Debt service - interest")</f>
        <v/>
      </c>
      <c r="E370" s="22">
        <f>C370-B370</f>
        <v/>
      </c>
      <c r="F370" s="22">
        <f>-(D370-C370)</f>
        <v/>
      </c>
      <c r="G370" s="43">
        <f>-(D370-B370)</f>
        <v/>
      </c>
      <c r="H370" s="33">
        <f>IFERROR(F370/ABS(C370),0)</f>
        <v/>
      </c>
      <c r="I370" s="44">
        <f>IF(AND(ABS(F370)&gt;=$L$2,ABS(H370)&gt;=$L$3),"Explain","")</f>
        <v/>
      </c>
      <c r="J370" s="2" t="n"/>
      <c r="K370" s="2" t="n"/>
      <c r="L370" s="2" t="n"/>
    </row>
    <row r="371">
      <c r="A371" s="21" t="inlineStr">
        <is>
          <t>Non-departmental (budget-report basis)</t>
        </is>
      </c>
      <c r="B371" s="36">
        <f>SUMIFS(GF_Budget_Detail!$E$5:$E$295,GF_Budget_Detail!$A$5:$A$295,$J$347,GF_Budget_Detail!$D$5:$D$295,"Non-departmental (budget-report basis)")</f>
        <v/>
      </c>
      <c r="C371" s="36">
        <f>SUMIFS(GF_Budget_Detail!$F$5:$F$295,GF_Budget_Detail!$A$5:$A$295,$J$347,GF_Budget_Detail!$D$5:$D$295,"Non-departmental (budget-report basis)")</f>
        <v/>
      </c>
      <c r="D371" s="36">
        <f>SUMIFS(GF_Budget_Detail!$G$5:$G$295,GF_Budget_Detail!$A$5:$A$295,$J$347,GF_Budget_Detail!$D$5:$D$295,"Non-departmental (budget-report basis)")</f>
        <v/>
      </c>
      <c r="E371" s="22">
        <f>C371-B371</f>
        <v/>
      </c>
      <c r="F371" s="22">
        <f>-(D371-C371)</f>
        <v/>
      </c>
      <c r="G371" s="43">
        <f>-(D371-B371)</f>
        <v/>
      </c>
      <c r="H371" s="33">
        <f>IFERROR(F371/ABS(C371),0)</f>
        <v/>
      </c>
      <c r="I371" s="44">
        <f>IF(AND(ABS(F371)&gt;=$L$2,ABS(H371)&gt;=$L$3),"Explain","")</f>
        <v/>
      </c>
      <c r="J371" s="2" t="n"/>
      <c r="K371" s="2" t="n"/>
      <c r="L371" s="2" t="n"/>
    </row>
    <row r="372">
      <c r="A372" s="21" t="inlineStr">
        <is>
          <t>Original budget not itemized by department</t>
        </is>
      </c>
      <c r="B372" s="36">
        <f>SUMIFS(GF_Budget_Detail!$E$5:$E$295,GF_Budget_Detail!$A$5:$A$295,$J$347,GF_Budget_Detail!$D$5:$D$295,"Original budget not itemized by department")</f>
        <v/>
      </c>
      <c r="C372" s="36">
        <f>SUMIFS(GF_Budget_Detail!$F$5:$F$295,GF_Budget_Detail!$A$5:$A$295,$J$347,GF_Budget_Detail!$D$5:$D$295,"Original budget not itemized by department")</f>
        <v/>
      </c>
      <c r="D372" s="36">
        <f>SUMIFS(GF_Budget_Detail!$G$5:$G$295,GF_Budget_Detail!$A$5:$A$295,$J$347,GF_Budget_Detail!$D$5:$D$295,"Original budget not itemized by department")</f>
        <v/>
      </c>
      <c r="E372" s="22">
        <f>C372-B372</f>
        <v/>
      </c>
      <c r="F372" s="22">
        <f>-(D372-C372)</f>
        <v/>
      </c>
      <c r="G372" s="43">
        <f>-(D372-B372)</f>
        <v/>
      </c>
      <c r="H372" s="33">
        <f>IFERROR(F372/ABS(C372),0)</f>
        <v/>
      </c>
      <c r="I372" s="44">
        <f>IF(AND(ABS(F372)&gt;=$L$2,ABS(H372)&gt;=$L$3),"Explain","")</f>
        <v/>
      </c>
      <c r="J372" s="2" t="n"/>
      <c r="K372" s="2" t="n"/>
      <c r="L372" s="2" t="n"/>
    </row>
    <row r="373">
      <c r="A373" s="12" t="inlineStr">
        <is>
          <t>Total expenditures</t>
        </is>
      </c>
      <c r="B373" s="24">
        <f>SUM(B360:B372)</f>
        <v/>
      </c>
      <c r="C373" s="24">
        <f>SUM(C360:C372)</f>
        <v/>
      </c>
      <c r="D373" s="24">
        <f>SUM(D360:D372)</f>
        <v/>
      </c>
      <c r="E373" s="24">
        <f>C373-B373</f>
        <v/>
      </c>
      <c r="F373" s="24">
        <f>-(D373-C373)</f>
        <v/>
      </c>
      <c r="G373" s="24">
        <f>-(D373-B373)</f>
        <v/>
      </c>
      <c r="H373" s="45">
        <f>IFERROR(F373/ABS(C373),0)</f>
        <v/>
      </c>
      <c r="I373" s="46">
        <f>IF(AND(ABS(F373)&gt;=$L$2,ABS(H373)&gt;=$L$3),"Explain","")</f>
        <v/>
      </c>
      <c r="J373" s="2" t="n"/>
      <c r="K373" s="2" t="n"/>
      <c r="L373" s="2" t="n"/>
    </row>
    <row r="374">
      <c r="A374" s="2" t="n"/>
      <c r="B374" s="2" t="n"/>
      <c r="C374" s="2" t="n"/>
      <c r="D374" s="2" t="n"/>
      <c r="E374" s="2" t="n"/>
      <c r="F374" s="2" t="n"/>
      <c r="G374" s="2" t="n"/>
      <c r="H374" s="2" t="n"/>
      <c r="I374" s="2" t="n"/>
      <c r="J374" s="2" t="n"/>
      <c r="K374" s="2" t="n"/>
      <c r="L374" s="2" t="n"/>
    </row>
    <row r="375">
      <c r="A375" s="21" t="inlineStr">
        <is>
          <t>Transfers in</t>
        </is>
      </c>
      <c r="B375" s="36">
        <f>SUMIFS(GF_Budget_Detail!$E$5:$E$295,GF_Budget_Detail!$A$5:$A$295,$J$347,GF_Budget_Detail!$D$5:$D$295,"Transfers in")</f>
        <v/>
      </c>
      <c r="C375" s="36">
        <f>SUMIFS(GF_Budget_Detail!$F$5:$F$295,GF_Budget_Detail!$A$5:$A$295,$J$347,GF_Budget_Detail!$D$5:$D$295,"Transfers in")</f>
        <v/>
      </c>
      <c r="D375" s="36">
        <f>SUMIFS(GF_Budget_Detail!$G$5:$G$295,GF_Budget_Detail!$A$5:$A$295,$J$347,GF_Budget_Detail!$D$5:$D$295,"Transfers in")</f>
        <v/>
      </c>
      <c r="E375" s="22">
        <f>C375-B375</f>
        <v/>
      </c>
      <c r="F375" s="22">
        <f>(D375-C375)</f>
        <v/>
      </c>
      <c r="G375" s="43">
        <f>(D375-B375)</f>
        <v/>
      </c>
      <c r="H375" s="33">
        <f>IFERROR(F375/ABS(C375),0)</f>
        <v/>
      </c>
      <c r="I375" s="44">
        <f>IF(AND(ABS(F375)&gt;=$L$2,ABS(H375)&gt;=$L$3),"Explain","")</f>
        <v/>
      </c>
      <c r="J375" s="2" t="n"/>
      <c r="K375" s="2" t="n"/>
      <c r="L375" s="2" t="n"/>
    </row>
    <row r="376">
      <c r="A376" s="21" t="inlineStr">
        <is>
          <t>Transfers out</t>
        </is>
      </c>
      <c r="B376" s="36">
        <f>SUMIFS(GF_Budget_Detail!$E$5:$E$295,GF_Budget_Detail!$A$5:$A$295,$J$347,GF_Budget_Detail!$D$5:$D$295,"Transfers out")</f>
        <v/>
      </c>
      <c r="C376" s="36">
        <f>SUMIFS(GF_Budget_Detail!$F$5:$F$295,GF_Budget_Detail!$A$5:$A$295,$J$347,GF_Budget_Detail!$D$5:$D$295,"Transfers out")</f>
        <v/>
      </c>
      <c r="D376" s="36">
        <f>SUMIFS(GF_Budget_Detail!$G$5:$G$295,GF_Budget_Detail!$A$5:$A$295,$J$347,GF_Budget_Detail!$D$5:$D$295,"Transfers out")</f>
        <v/>
      </c>
      <c r="E376" s="22">
        <f>C376-B376</f>
        <v/>
      </c>
      <c r="F376" s="22">
        <f>(D376-C376)</f>
        <v/>
      </c>
      <c r="G376" s="43">
        <f>(D376-B376)</f>
        <v/>
      </c>
      <c r="H376" s="33">
        <f>IFERROR(F376/ABS(C376),0)</f>
        <v/>
      </c>
      <c r="I376" s="44">
        <f>IF(AND(ABS(F376)&gt;=$L$2,ABS(H376)&gt;=$L$3),"Explain","")</f>
        <v/>
      </c>
      <c r="J376" s="2" t="n"/>
      <c r="K376" s="2" t="n"/>
      <c r="L376" s="2" t="n"/>
    </row>
    <row r="377">
      <c r="A377" s="21" t="inlineStr">
        <is>
          <t>Debt / lease financing proceeds</t>
        </is>
      </c>
      <c r="B377" s="36">
        <f>SUMIFS(GF_Budget_Detail!$E$5:$E$295,GF_Budget_Detail!$A$5:$A$295,$J$347,GF_Budget_Detail!$D$5:$D$295,"Debt / lease financing proceeds")</f>
        <v/>
      </c>
      <c r="C377" s="36">
        <f>SUMIFS(GF_Budget_Detail!$F$5:$F$295,GF_Budget_Detail!$A$5:$A$295,$J$347,GF_Budget_Detail!$D$5:$D$295,"Debt / lease financing proceeds")</f>
        <v/>
      </c>
      <c r="D377" s="36">
        <f>SUMIFS(GF_Budget_Detail!$G$5:$G$295,GF_Budget_Detail!$A$5:$A$295,$J$347,GF_Budget_Detail!$D$5:$D$295,"Debt / lease financing proceeds")</f>
        <v/>
      </c>
      <c r="E377" s="22">
        <f>C377-B377</f>
        <v/>
      </c>
      <c r="F377" s="22">
        <f>(D377-C377)</f>
        <v/>
      </c>
      <c r="G377" s="43">
        <f>(D377-B377)</f>
        <v/>
      </c>
      <c r="H377" s="33">
        <f>IFERROR(F377/ABS(C377),0)</f>
        <v/>
      </c>
      <c r="I377" s="44">
        <f>IF(AND(ABS(F377)&gt;=$L$2,ABS(H377)&gt;=$L$3),"Explain","")</f>
        <v/>
      </c>
      <c r="J377" s="2" t="n"/>
      <c r="K377" s="2" t="n"/>
      <c r="L377" s="2" t="n"/>
    </row>
    <row r="378">
      <c r="A378" s="21" t="inlineStr">
        <is>
          <t>Proceeds from sale of capital assets</t>
        </is>
      </c>
      <c r="B378" s="36">
        <f>SUMIFS(GF_Budget_Detail!$E$5:$E$295,GF_Budget_Detail!$A$5:$A$295,$J$347,GF_Budget_Detail!$D$5:$D$295,"Proceeds from sale of capital assets")</f>
        <v/>
      </c>
      <c r="C378" s="36">
        <f>SUMIFS(GF_Budget_Detail!$F$5:$F$295,GF_Budget_Detail!$A$5:$A$295,$J$347,GF_Budget_Detail!$D$5:$D$295,"Proceeds from sale of capital assets")</f>
        <v/>
      </c>
      <c r="D378" s="36">
        <f>SUMIFS(GF_Budget_Detail!$G$5:$G$295,GF_Budget_Detail!$A$5:$A$295,$J$347,GF_Budget_Detail!$D$5:$D$295,"Proceeds from sale of capital assets")</f>
        <v/>
      </c>
      <c r="E378" s="22">
        <f>C378-B378</f>
        <v/>
      </c>
      <c r="F378" s="22">
        <f>(D378-C378)</f>
        <v/>
      </c>
      <c r="G378" s="43">
        <f>(D378-B378)</f>
        <v/>
      </c>
      <c r="H378" s="33">
        <f>IFERROR(F378/ABS(C378),0)</f>
        <v/>
      </c>
      <c r="I378" s="44">
        <f>IF(AND(ABS(F378)&gt;=$L$2,ABS(H378)&gt;=$L$3),"Explain","")</f>
        <v/>
      </c>
      <c r="J378" s="2" t="n"/>
      <c r="K378" s="2" t="n"/>
      <c r="L378" s="2" t="n"/>
    </row>
    <row r="379">
      <c r="A379" s="21" t="inlineStr">
        <is>
          <t>Special items</t>
        </is>
      </c>
      <c r="B379" s="36">
        <f>SUMIFS(GF_Budget_Detail!$E$5:$E$295,GF_Budget_Detail!$A$5:$A$295,$J$347,GF_Budget_Detail!$D$5:$D$295,"Special items")</f>
        <v/>
      </c>
      <c r="C379" s="36">
        <f>SUMIFS(GF_Budget_Detail!$F$5:$F$295,GF_Budget_Detail!$A$5:$A$295,$J$347,GF_Budget_Detail!$D$5:$D$295,"Special items")</f>
        <v/>
      </c>
      <c r="D379" s="36">
        <f>SUMIFS(GF_Budget_Detail!$G$5:$G$295,GF_Budget_Detail!$A$5:$A$295,$J$347,GF_Budget_Detail!$D$5:$D$295,"Special items")</f>
        <v/>
      </c>
      <c r="E379" s="22">
        <f>C379-B379</f>
        <v/>
      </c>
      <c r="F379" s="22">
        <f>(D379-C379)</f>
        <v/>
      </c>
      <c r="G379" s="43">
        <f>(D379-B379)</f>
        <v/>
      </c>
      <c r="H379" s="33">
        <f>IFERROR(F379/ABS(C379),0)</f>
        <v/>
      </c>
      <c r="I379" s="44">
        <f>IF(AND(ABS(F379)&gt;=$L$2,ABS(H379)&gt;=$L$3),"Explain","")</f>
        <v/>
      </c>
      <c r="J379" s="2" t="n"/>
      <c r="K379" s="2" t="n"/>
      <c r="L379" s="2" t="n"/>
    </row>
    <row r="380">
      <c r="A380" s="12" t="inlineStr">
        <is>
          <t>Total other financing sources (uses) and special items</t>
        </is>
      </c>
      <c r="B380" s="24">
        <f>SUM(B375:B379)</f>
        <v/>
      </c>
      <c r="C380" s="24">
        <f>SUM(C375:C379)</f>
        <v/>
      </c>
      <c r="D380" s="24">
        <f>SUM(D375:D379)</f>
        <v/>
      </c>
      <c r="E380" s="24">
        <f>C380-B380</f>
        <v/>
      </c>
      <c r="F380" s="24">
        <f>(D380-C380)</f>
        <v/>
      </c>
      <c r="G380" s="24">
        <f>(D380-B380)</f>
        <v/>
      </c>
      <c r="H380" s="45">
        <f>IFERROR(F380/ABS(C380),0)</f>
        <v/>
      </c>
      <c r="I380" s="46">
        <f>IF(AND(ABS(F380)&gt;=$L$2,ABS(H380)&gt;=$L$3),"Explain","")</f>
        <v/>
      </c>
      <c r="J380" s="2" t="n"/>
      <c r="K380" s="2" t="n"/>
      <c r="L380" s="2" t="n"/>
    </row>
    <row r="381">
      <c r="A381" s="2" t="n"/>
      <c r="B381" s="2" t="n"/>
      <c r="C381" s="2" t="n"/>
      <c r="D381" s="2" t="n"/>
      <c r="E381" s="2" t="n"/>
      <c r="F381" s="2" t="n"/>
      <c r="G381" s="2" t="n"/>
      <c r="H381" s="2" t="n"/>
      <c r="I381" s="2" t="n"/>
      <c r="J381" s="2" t="n"/>
      <c r="K381" s="2" t="n"/>
      <c r="L381" s="2" t="n"/>
    </row>
    <row r="382">
      <c r="A382" s="12" t="inlineStr">
        <is>
          <t>Net change in fund balance</t>
        </is>
      </c>
      <c r="B382" s="31">
        <f>B358-B373+B380</f>
        <v/>
      </c>
      <c r="C382" s="31">
        <f>C358-C373+C380</f>
        <v/>
      </c>
      <c r="D382" s="31">
        <f>D358-D373+D380</f>
        <v/>
      </c>
      <c r="E382" s="31">
        <f>C382-B382</f>
        <v/>
      </c>
      <c r="F382" s="31">
        <f>D382-C382</f>
        <v/>
      </c>
      <c r="G382" s="31">
        <f>D382-B382</f>
        <v/>
      </c>
      <c r="H382" s="2" t="n"/>
      <c r="I382" s="2" t="n"/>
      <c r="J382" s="2" t="n"/>
      <c r="K382" s="2" t="n"/>
      <c r="L382" s="2" t="n"/>
    </row>
    <row r="383">
      <c r="A383" s="2" t="n"/>
      <c r="B383" s="2" t="n"/>
      <c r="C383" s="2" t="n"/>
      <c r="D383" s="2" t="n"/>
      <c r="E383" s="2" t="n"/>
      <c r="F383" s="2" t="n"/>
      <c r="G383" s="2" t="n"/>
      <c r="H383" s="2" t="n"/>
      <c r="I383" s="2" t="n"/>
      <c r="J383" s="2" t="n"/>
      <c r="K383" s="2" t="n"/>
      <c r="L383" s="2" t="n"/>
    </row>
    <row r="384">
      <c r="A384" s="2" t="n"/>
      <c r="B384" s="2" t="n"/>
      <c r="C384" s="2" t="n"/>
      <c r="D384" s="2" t="n"/>
      <c r="E384" s="2" t="n"/>
      <c r="F384" s="2" t="n"/>
      <c r="G384" s="2" t="n"/>
      <c r="H384" s="2" t="n"/>
      <c r="I384" s="2" t="n"/>
      <c r="J384" s="2" t="n"/>
      <c r="K384" s="2" t="n"/>
      <c r="L384" s="2" t="n"/>
    </row>
    <row r="385">
      <c r="A385" s="16" t="inlineStr">
        <is>
          <t>FY2023-24 (year ended June 30, 2024)  -  Budgetary comparison schedule, General Fund  -  GAAP (modified accrual) budgetary basis</t>
        </is>
      </c>
      <c r="B385" s="39" t="n"/>
      <c r="C385" s="39" t="n"/>
      <c r="D385" s="39" t="n"/>
      <c r="E385" s="39" t="n"/>
      <c r="F385" s="39" t="n"/>
      <c r="G385" s="39" t="n"/>
      <c r="H385" s="39" t="n"/>
      <c r="I385" s="39" t="n"/>
      <c r="J385" s="40" t="n">
        <v>2024</v>
      </c>
      <c r="K385" s="2" t="n"/>
      <c r="L385" s="2" t="n"/>
    </row>
    <row r="386" ht="54" customHeight="1">
      <c r="A386" s="41" t="inlineStr">
        <is>
          <t>Category</t>
        </is>
      </c>
      <c r="B386" s="41" t="inlineStr">
        <is>
          <t>Budgeted amounts - Original</t>
        </is>
      </c>
      <c r="C386" s="41" t="inlineStr">
        <is>
          <t>Budgeted amounts - Final</t>
        </is>
      </c>
      <c r="D386" s="41" t="inlineStr">
        <is>
          <t>Actual amounts (budgetary basis)</t>
        </is>
      </c>
      <c r="E386" s="41" t="inlineStr">
        <is>
          <t>Variance: Original to Final budget, increase (decrease)</t>
        </is>
      </c>
      <c r="F386" s="41" t="inlineStr">
        <is>
          <t>Variance with Final budget, positive (negative)</t>
        </is>
      </c>
      <c r="G386" s="42" t="inlineStr">
        <is>
          <t>Variance with Original budget, positive (negative) [supplementary]</t>
        </is>
      </c>
      <c r="H386" s="41" t="inlineStr">
        <is>
          <t>Variance with Final budget %</t>
        </is>
      </c>
      <c r="I386" s="41" t="inlineStr">
        <is>
          <t>Significant variance? (GASB 103 note candidate)</t>
        </is>
      </c>
      <c r="J386" s="2" t="n"/>
      <c r="K386" s="2" t="n"/>
      <c r="L386" s="2" t="n"/>
    </row>
    <row r="387">
      <c r="A387" s="21" t="inlineStr">
        <is>
          <t>Property taxes</t>
        </is>
      </c>
      <c r="B387" s="36">
        <f>SUMIFS(GF_Budget_Detail!$E$5:$E$295,GF_Budget_Detail!$A$5:$A$295,$J$385,GF_Budget_Detail!$D$5:$D$295,"Property taxes")</f>
        <v/>
      </c>
      <c r="C387" s="36">
        <f>SUMIFS(GF_Budget_Detail!$F$5:$F$295,GF_Budget_Detail!$A$5:$A$295,$J$385,GF_Budget_Detail!$D$5:$D$295,"Property taxes")</f>
        <v/>
      </c>
      <c r="D387" s="36">
        <f>SUMIFS(GF_Budget_Detail!$G$5:$G$295,GF_Budget_Detail!$A$5:$A$295,$J$385,GF_Budget_Detail!$D$5:$D$295,"Property taxes")</f>
        <v/>
      </c>
      <c r="E387" s="22">
        <f>C387-B387</f>
        <v/>
      </c>
      <c r="F387" s="22">
        <f>(D387-C387)</f>
        <v/>
      </c>
      <c r="G387" s="43">
        <f>(D387-B387)</f>
        <v/>
      </c>
      <c r="H387" s="33">
        <f>IFERROR(F387/ABS(C387),0)</f>
        <v/>
      </c>
      <c r="I387" s="44">
        <f>IF(AND(ABS(F387)&gt;=$L$2,ABS(H387)&gt;=$L$3),"Explain","")</f>
        <v/>
      </c>
      <c r="J387" s="2" t="n"/>
      <c r="K387" s="2" t="n"/>
      <c r="L387" s="2" t="n"/>
    </row>
    <row r="388">
      <c r="A388" s="21" t="inlineStr">
        <is>
          <t>Taxes other than property</t>
        </is>
      </c>
      <c r="B388" s="36">
        <f>SUMIFS(GF_Budget_Detail!$E$5:$E$295,GF_Budget_Detail!$A$5:$A$295,$J$385,GF_Budget_Detail!$D$5:$D$295,"Taxes other than property")</f>
        <v/>
      </c>
      <c r="C388" s="36">
        <f>SUMIFS(GF_Budget_Detail!$F$5:$F$295,GF_Budget_Detail!$A$5:$A$295,$J$385,GF_Budget_Detail!$D$5:$D$295,"Taxes other than property")</f>
        <v/>
      </c>
      <c r="D388" s="36">
        <f>SUMIFS(GF_Budget_Detail!$G$5:$G$295,GF_Budget_Detail!$A$5:$A$295,$J$385,GF_Budget_Detail!$D$5:$D$295,"Taxes other than property")</f>
        <v/>
      </c>
      <c r="E388" s="22">
        <f>C388-B388</f>
        <v/>
      </c>
      <c r="F388" s="22">
        <f>(D388-C388)</f>
        <v/>
      </c>
      <c r="G388" s="43">
        <f>(D388-B388)</f>
        <v/>
      </c>
      <c r="H388" s="33">
        <f>IFERROR(F388/ABS(C388),0)</f>
        <v/>
      </c>
      <c r="I388" s="44">
        <f>IF(AND(ABS(F388)&gt;=$L$2,ABS(H388)&gt;=$L$3),"Explain","")</f>
        <v/>
      </c>
      <c r="J388" s="2" t="n"/>
      <c r="K388" s="2" t="n"/>
      <c r="L388" s="2" t="n"/>
    </row>
    <row r="389">
      <c r="A389" s="21" t="inlineStr">
        <is>
          <t>Taxes and assessments (combined)</t>
        </is>
      </c>
      <c r="B389" s="36">
        <f>SUMIFS(GF_Budget_Detail!$E$5:$E$295,GF_Budget_Detail!$A$5:$A$295,$J$385,GF_Budget_Detail!$D$5:$D$295,"Taxes and assessments (combined)")</f>
        <v/>
      </c>
      <c r="C389" s="36">
        <f>SUMIFS(GF_Budget_Detail!$F$5:$F$295,GF_Budget_Detail!$A$5:$A$295,$J$385,GF_Budget_Detail!$D$5:$D$295,"Taxes and assessments (combined)")</f>
        <v/>
      </c>
      <c r="D389" s="36">
        <f>SUMIFS(GF_Budget_Detail!$G$5:$G$295,GF_Budget_Detail!$A$5:$A$295,$J$385,GF_Budget_Detail!$D$5:$D$295,"Taxes and assessments (combined)")</f>
        <v/>
      </c>
      <c r="E389" s="22">
        <f>C389-B389</f>
        <v/>
      </c>
      <c r="F389" s="22">
        <f>(D389-C389)</f>
        <v/>
      </c>
      <c r="G389" s="43">
        <f>(D389-B389)</f>
        <v/>
      </c>
      <c r="H389" s="33">
        <f>IFERROR(F389/ABS(C389),0)</f>
        <v/>
      </c>
      <c r="I389" s="44">
        <f>IF(AND(ABS(F389)&gt;=$L$2,ABS(H389)&gt;=$L$3),"Explain","")</f>
        <v/>
      </c>
      <c r="J389" s="2" t="n"/>
      <c r="K389" s="2" t="n"/>
      <c r="L389" s="2" t="n"/>
    </row>
    <row r="390">
      <c r="A390" s="21" t="inlineStr">
        <is>
          <t>Licenses and permits</t>
        </is>
      </c>
      <c r="B390" s="36">
        <f>SUMIFS(GF_Budget_Detail!$E$5:$E$295,GF_Budget_Detail!$A$5:$A$295,$J$385,GF_Budget_Detail!$D$5:$D$295,"Licenses and permits")</f>
        <v/>
      </c>
      <c r="C390" s="36">
        <f>SUMIFS(GF_Budget_Detail!$F$5:$F$295,GF_Budget_Detail!$A$5:$A$295,$J$385,GF_Budget_Detail!$D$5:$D$295,"Licenses and permits")</f>
        <v/>
      </c>
      <c r="D390" s="36">
        <f>SUMIFS(GF_Budget_Detail!$G$5:$G$295,GF_Budget_Detail!$A$5:$A$295,$J$385,GF_Budget_Detail!$D$5:$D$295,"Licenses and permits")</f>
        <v/>
      </c>
      <c r="E390" s="22">
        <f>C390-B390</f>
        <v/>
      </c>
      <c r="F390" s="22">
        <f>(D390-C390)</f>
        <v/>
      </c>
      <c r="G390" s="43">
        <f>(D390-B390)</f>
        <v/>
      </c>
      <c r="H390" s="33">
        <f>IFERROR(F390/ABS(C390),0)</f>
        <v/>
      </c>
      <c r="I390" s="44">
        <f>IF(AND(ABS(F390)&gt;=$L$2,ABS(H390)&gt;=$L$3),"Explain","")</f>
        <v/>
      </c>
      <c r="J390" s="2" t="n"/>
      <c r="K390" s="2" t="n"/>
      <c r="L390" s="2" t="n"/>
    </row>
    <row r="391">
      <c r="A391" s="21" t="inlineStr">
        <is>
          <t>Fines and forfeitures</t>
        </is>
      </c>
      <c r="B391" s="36">
        <f>SUMIFS(GF_Budget_Detail!$E$5:$E$295,GF_Budget_Detail!$A$5:$A$295,$J$385,GF_Budget_Detail!$D$5:$D$295,"Fines and forfeitures")</f>
        <v/>
      </c>
      <c r="C391" s="36">
        <f>SUMIFS(GF_Budget_Detail!$F$5:$F$295,GF_Budget_Detail!$A$5:$A$295,$J$385,GF_Budget_Detail!$D$5:$D$295,"Fines and forfeitures")</f>
        <v/>
      </c>
      <c r="D391" s="36">
        <f>SUMIFS(GF_Budget_Detail!$G$5:$G$295,GF_Budget_Detail!$A$5:$A$295,$J$385,GF_Budget_Detail!$D$5:$D$295,"Fines and forfeitures")</f>
        <v/>
      </c>
      <c r="E391" s="22">
        <f>C391-B391</f>
        <v/>
      </c>
      <c r="F391" s="22">
        <f>(D391-C391)</f>
        <v/>
      </c>
      <c r="G391" s="43">
        <f>(D391-B391)</f>
        <v/>
      </c>
      <c r="H391" s="33">
        <f>IFERROR(F391/ABS(C391),0)</f>
        <v/>
      </c>
      <c r="I391" s="44">
        <f>IF(AND(ABS(F391)&gt;=$L$2,ABS(H391)&gt;=$L$3),"Explain","")</f>
        <v/>
      </c>
      <c r="J391" s="2" t="n"/>
      <c r="K391" s="2" t="n"/>
      <c r="L391" s="2" t="n"/>
    </row>
    <row r="392">
      <c r="A392" s="21" t="inlineStr">
        <is>
          <t>Use of money and property</t>
        </is>
      </c>
      <c r="B392" s="36">
        <f>SUMIFS(GF_Budget_Detail!$E$5:$E$295,GF_Budget_Detail!$A$5:$A$295,$J$385,GF_Budget_Detail!$D$5:$D$295,"Use of money and property")</f>
        <v/>
      </c>
      <c r="C392" s="36">
        <f>SUMIFS(GF_Budget_Detail!$F$5:$F$295,GF_Budget_Detail!$A$5:$A$295,$J$385,GF_Budget_Detail!$D$5:$D$295,"Use of money and property")</f>
        <v/>
      </c>
      <c r="D392" s="36">
        <f>SUMIFS(GF_Budget_Detail!$G$5:$G$295,GF_Budget_Detail!$A$5:$A$295,$J$385,GF_Budget_Detail!$D$5:$D$295,"Use of money and property")</f>
        <v/>
      </c>
      <c r="E392" s="22">
        <f>C392-B392</f>
        <v/>
      </c>
      <c r="F392" s="22">
        <f>(D392-C392)</f>
        <v/>
      </c>
      <c r="G392" s="43">
        <f>(D392-B392)</f>
        <v/>
      </c>
      <c r="H392" s="33">
        <f>IFERROR(F392/ABS(C392),0)</f>
        <v/>
      </c>
      <c r="I392" s="44">
        <f>IF(AND(ABS(F392)&gt;=$L$2,ABS(H392)&gt;=$L$3),"Explain","")</f>
        <v/>
      </c>
      <c r="J392" s="2" t="n"/>
      <c r="K392" s="2" t="n"/>
      <c r="L392" s="2" t="n"/>
    </row>
    <row r="393">
      <c r="A393" s="21" t="inlineStr">
        <is>
          <t>Intergovernmental</t>
        </is>
      </c>
      <c r="B393" s="36">
        <f>SUMIFS(GF_Budget_Detail!$E$5:$E$295,GF_Budget_Detail!$A$5:$A$295,$J$385,GF_Budget_Detail!$D$5:$D$295,"Intergovernmental")</f>
        <v/>
      </c>
      <c r="C393" s="36">
        <f>SUMIFS(GF_Budget_Detail!$F$5:$F$295,GF_Budget_Detail!$A$5:$A$295,$J$385,GF_Budget_Detail!$D$5:$D$295,"Intergovernmental")</f>
        <v/>
      </c>
      <c r="D393" s="36">
        <f>SUMIFS(GF_Budget_Detail!$G$5:$G$295,GF_Budget_Detail!$A$5:$A$295,$J$385,GF_Budget_Detail!$D$5:$D$295,"Intergovernmental")</f>
        <v/>
      </c>
      <c r="E393" s="22">
        <f>C393-B393</f>
        <v/>
      </c>
      <c r="F393" s="22">
        <f>(D393-C393)</f>
        <v/>
      </c>
      <c r="G393" s="43">
        <f>(D393-B393)</f>
        <v/>
      </c>
      <c r="H393" s="33">
        <f>IFERROR(F393/ABS(C393),0)</f>
        <v/>
      </c>
      <c r="I393" s="44">
        <f>IF(AND(ABS(F393)&gt;=$L$2,ABS(H393)&gt;=$L$3),"Explain","")</f>
        <v/>
      </c>
      <c r="J393" s="2" t="n"/>
      <c r="K393" s="2" t="n"/>
      <c r="L393" s="2" t="n"/>
    </row>
    <row r="394">
      <c r="A394" s="21" t="inlineStr">
        <is>
          <t>Charges for services</t>
        </is>
      </c>
      <c r="B394" s="36">
        <f>SUMIFS(GF_Budget_Detail!$E$5:$E$295,GF_Budget_Detail!$A$5:$A$295,$J$385,GF_Budget_Detail!$D$5:$D$295,"Charges for services")</f>
        <v/>
      </c>
      <c r="C394" s="36">
        <f>SUMIFS(GF_Budget_Detail!$F$5:$F$295,GF_Budget_Detail!$A$5:$A$295,$J$385,GF_Budget_Detail!$D$5:$D$295,"Charges for services")</f>
        <v/>
      </c>
      <c r="D394" s="36">
        <f>SUMIFS(GF_Budget_Detail!$G$5:$G$295,GF_Budget_Detail!$A$5:$A$295,$J$385,GF_Budget_Detail!$D$5:$D$295,"Charges for services")</f>
        <v/>
      </c>
      <c r="E394" s="22">
        <f>C394-B394</f>
        <v/>
      </c>
      <c r="F394" s="22">
        <f>(D394-C394)</f>
        <v/>
      </c>
      <c r="G394" s="43">
        <f>(D394-B394)</f>
        <v/>
      </c>
      <c r="H394" s="33">
        <f>IFERROR(F394/ABS(C394),0)</f>
        <v/>
      </c>
      <c r="I394" s="44">
        <f>IF(AND(ABS(F394)&gt;=$L$2,ABS(H394)&gt;=$L$3),"Explain","")</f>
        <v/>
      </c>
      <c r="J394" s="2" t="n"/>
      <c r="K394" s="2" t="n"/>
      <c r="L394" s="2" t="n"/>
    </row>
    <row r="395">
      <c r="A395" s="21" t="inlineStr">
        <is>
          <t>Other revenues</t>
        </is>
      </c>
      <c r="B395" s="36">
        <f>SUMIFS(GF_Budget_Detail!$E$5:$E$295,GF_Budget_Detail!$A$5:$A$295,$J$385,GF_Budget_Detail!$D$5:$D$295,"Other revenues")</f>
        <v/>
      </c>
      <c r="C395" s="36">
        <f>SUMIFS(GF_Budget_Detail!$F$5:$F$295,GF_Budget_Detail!$A$5:$A$295,$J$385,GF_Budget_Detail!$D$5:$D$295,"Other revenues")</f>
        <v/>
      </c>
      <c r="D395" s="36">
        <f>SUMIFS(GF_Budget_Detail!$G$5:$G$295,GF_Budget_Detail!$A$5:$A$295,$J$385,GF_Budget_Detail!$D$5:$D$295,"Other revenues")</f>
        <v/>
      </c>
      <c r="E395" s="22">
        <f>C395-B395</f>
        <v/>
      </c>
      <c r="F395" s="22">
        <f>(D395-C395)</f>
        <v/>
      </c>
      <c r="G395" s="43">
        <f>(D395-B395)</f>
        <v/>
      </c>
      <c r="H395" s="33">
        <f>IFERROR(F395/ABS(C395),0)</f>
        <v/>
      </c>
      <c r="I395" s="44">
        <f>IF(AND(ABS(F395)&gt;=$L$2,ABS(H395)&gt;=$L$3),"Explain","")</f>
        <v/>
      </c>
      <c r="J395" s="2" t="n"/>
      <c r="K395" s="2" t="n"/>
      <c r="L395" s="2" t="n"/>
    </row>
    <row r="396">
      <c r="A396" s="12" t="inlineStr">
        <is>
          <t>Total revenues</t>
        </is>
      </c>
      <c r="B396" s="24">
        <f>SUM(B387:B395)</f>
        <v/>
      </c>
      <c r="C396" s="24">
        <f>SUM(C387:C395)</f>
        <v/>
      </c>
      <c r="D396" s="24">
        <f>SUM(D387:D395)</f>
        <v/>
      </c>
      <c r="E396" s="24">
        <f>C396-B396</f>
        <v/>
      </c>
      <c r="F396" s="24">
        <f>(D396-C396)</f>
        <v/>
      </c>
      <c r="G396" s="24">
        <f>(D396-B396)</f>
        <v/>
      </c>
      <c r="H396" s="45">
        <f>IFERROR(F396/ABS(C396),0)</f>
        <v/>
      </c>
      <c r="I396" s="46">
        <f>IF(AND(ABS(F396)&gt;=$L$2,ABS(H396)&gt;=$L$3),"Explain","")</f>
        <v/>
      </c>
      <c r="J396" s="2" t="n"/>
      <c r="K396" s="2" t="n"/>
      <c r="L396" s="2" t="n"/>
    </row>
    <row r="397">
      <c r="A397" s="2" t="n"/>
      <c r="B397" s="2" t="n"/>
      <c r="C397" s="2" t="n"/>
      <c r="D397" s="2" t="n"/>
      <c r="E397" s="2" t="n"/>
      <c r="F397" s="2" t="n"/>
      <c r="G397" s="2" t="n"/>
      <c r="H397" s="2" t="n"/>
      <c r="I397" s="2" t="n"/>
      <c r="J397" s="2" t="n"/>
      <c r="K397" s="2" t="n"/>
      <c r="L397" s="2" t="n"/>
    </row>
    <row r="398">
      <c r="A398" s="21" t="inlineStr">
        <is>
          <t>General government</t>
        </is>
      </c>
      <c r="B398" s="36">
        <f>SUMIFS(GF_Budget_Detail!$E$5:$E$295,GF_Budget_Detail!$A$5:$A$295,$J$385,GF_Budget_Detail!$D$5:$D$295,"General government")</f>
        <v/>
      </c>
      <c r="C398" s="36">
        <f>SUMIFS(GF_Budget_Detail!$F$5:$F$295,GF_Budget_Detail!$A$5:$A$295,$J$385,GF_Budget_Detail!$D$5:$D$295,"General government")</f>
        <v/>
      </c>
      <c r="D398" s="36">
        <f>SUMIFS(GF_Budget_Detail!$G$5:$G$295,GF_Budget_Detail!$A$5:$A$295,$J$385,GF_Budget_Detail!$D$5:$D$295,"General government")</f>
        <v/>
      </c>
      <c r="E398" s="22">
        <f>C398-B398</f>
        <v/>
      </c>
      <c r="F398" s="22">
        <f>-(D398-C398)</f>
        <v/>
      </c>
      <c r="G398" s="43">
        <f>-(D398-B398)</f>
        <v/>
      </c>
      <c r="H398" s="33">
        <f>IFERROR(F398/ABS(C398),0)</f>
        <v/>
      </c>
      <c r="I398" s="44">
        <f>IF(AND(ABS(F398)&gt;=$L$2,ABS(H398)&gt;=$L$3),"Explain","")</f>
        <v/>
      </c>
      <c r="J398" s="2" t="n"/>
      <c r="K398" s="2" t="n"/>
      <c r="L398" s="2" t="n"/>
    </row>
    <row r="399">
      <c r="A399" s="21" t="inlineStr">
        <is>
          <t>Public works</t>
        </is>
      </c>
      <c r="B399" s="36">
        <f>SUMIFS(GF_Budget_Detail!$E$5:$E$295,GF_Budget_Detail!$A$5:$A$295,$J$385,GF_Budget_Detail!$D$5:$D$295,"Public works")</f>
        <v/>
      </c>
      <c r="C399" s="36">
        <f>SUMIFS(GF_Budget_Detail!$F$5:$F$295,GF_Budget_Detail!$A$5:$A$295,$J$385,GF_Budget_Detail!$D$5:$D$295,"Public works")</f>
        <v/>
      </c>
      <c r="D399" s="36">
        <f>SUMIFS(GF_Budget_Detail!$G$5:$G$295,GF_Budget_Detail!$A$5:$A$295,$J$385,GF_Budget_Detail!$D$5:$D$295,"Public works")</f>
        <v/>
      </c>
      <c r="E399" s="22">
        <f>C399-B399</f>
        <v/>
      </c>
      <c r="F399" s="22">
        <f>-(D399-C399)</f>
        <v/>
      </c>
      <c r="G399" s="43">
        <f>-(D399-B399)</f>
        <v/>
      </c>
      <c r="H399" s="33">
        <f>IFERROR(F399/ABS(C399),0)</f>
        <v/>
      </c>
      <c r="I399" s="44">
        <f>IF(AND(ABS(F399)&gt;=$L$2,ABS(H399)&gt;=$L$3),"Explain","")</f>
        <v/>
      </c>
      <c r="J399" s="2" t="n"/>
      <c r="K399" s="2" t="n"/>
      <c r="L399" s="2" t="n"/>
    </row>
    <row r="400">
      <c r="A400" s="21" t="inlineStr">
        <is>
          <t>Recreation</t>
        </is>
      </c>
      <c r="B400" s="36">
        <f>SUMIFS(GF_Budget_Detail!$E$5:$E$295,GF_Budget_Detail!$A$5:$A$295,$J$385,GF_Budget_Detail!$D$5:$D$295,"Recreation")</f>
        <v/>
      </c>
      <c r="C400" s="36">
        <f>SUMIFS(GF_Budget_Detail!$F$5:$F$295,GF_Budget_Detail!$A$5:$A$295,$J$385,GF_Budget_Detail!$D$5:$D$295,"Recreation")</f>
        <v/>
      </c>
      <c r="D400" s="36">
        <f>SUMIFS(GF_Budget_Detail!$G$5:$G$295,GF_Budget_Detail!$A$5:$A$295,$J$385,GF_Budget_Detail!$D$5:$D$295,"Recreation")</f>
        <v/>
      </c>
      <c r="E400" s="22">
        <f>C400-B400</f>
        <v/>
      </c>
      <c r="F400" s="22">
        <f>-(D400-C400)</f>
        <v/>
      </c>
      <c r="G400" s="43">
        <f>-(D400-B400)</f>
        <v/>
      </c>
      <c r="H400" s="33">
        <f>IFERROR(F400/ABS(C400),0)</f>
        <v/>
      </c>
      <c r="I400" s="44">
        <f>IF(AND(ABS(F400)&gt;=$L$2,ABS(H400)&gt;=$L$3),"Explain","")</f>
        <v/>
      </c>
      <c r="J400" s="2" t="n"/>
      <c r="K400" s="2" t="n"/>
      <c r="L400" s="2" t="n"/>
    </row>
    <row r="401">
      <c r="A401" s="21" t="inlineStr">
        <is>
          <t>Community development</t>
        </is>
      </c>
      <c r="B401" s="36">
        <f>SUMIFS(GF_Budget_Detail!$E$5:$E$295,GF_Budget_Detail!$A$5:$A$295,$J$385,GF_Budget_Detail!$D$5:$D$295,"Community development")</f>
        <v/>
      </c>
      <c r="C401" s="36">
        <f>SUMIFS(GF_Budget_Detail!$F$5:$F$295,GF_Budget_Detail!$A$5:$A$295,$J$385,GF_Budget_Detail!$D$5:$D$295,"Community development")</f>
        <v/>
      </c>
      <c r="D401" s="36">
        <f>SUMIFS(GF_Budget_Detail!$G$5:$G$295,GF_Budget_Detail!$A$5:$A$295,$J$385,GF_Budget_Detail!$D$5:$D$295,"Community development")</f>
        <v/>
      </c>
      <c r="E401" s="22">
        <f>C401-B401</f>
        <v/>
      </c>
      <c r="F401" s="22">
        <f>-(D401-C401)</f>
        <v/>
      </c>
      <c r="G401" s="43">
        <f>-(D401-B401)</f>
        <v/>
      </c>
      <c r="H401" s="33">
        <f>IFERROR(F401/ABS(C401),0)</f>
        <v/>
      </c>
      <c r="I401" s="44">
        <f>IF(AND(ABS(F401)&gt;=$L$2,ABS(H401)&gt;=$L$3),"Explain","")</f>
        <v/>
      </c>
      <c r="J401" s="2" t="n"/>
      <c r="K401" s="2" t="n"/>
      <c r="L401" s="2" t="n"/>
    </row>
    <row r="402">
      <c r="A402" s="21" t="inlineStr">
        <is>
          <t>Public safety - Police</t>
        </is>
      </c>
      <c r="B402" s="36">
        <f>SUMIFS(GF_Budget_Detail!$E$5:$E$295,GF_Budget_Detail!$A$5:$A$295,$J$385,GF_Budget_Detail!$D$5:$D$295,"Public safety - Police")</f>
        <v/>
      </c>
      <c r="C402" s="36">
        <f>SUMIFS(GF_Budget_Detail!$F$5:$F$295,GF_Budget_Detail!$A$5:$A$295,$J$385,GF_Budget_Detail!$D$5:$D$295,"Public safety - Police")</f>
        <v/>
      </c>
      <c r="D402" s="36">
        <f>SUMIFS(GF_Budget_Detail!$G$5:$G$295,GF_Budget_Detail!$A$5:$A$295,$J$385,GF_Budget_Detail!$D$5:$D$295,"Public safety - Police")</f>
        <v/>
      </c>
      <c r="E402" s="22">
        <f>C402-B402</f>
        <v/>
      </c>
      <c r="F402" s="22">
        <f>-(D402-C402)</f>
        <v/>
      </c>
      <c r="G402" s="43">
        <f>-(D402-B402)</f>
        <v/>
      </c>
      <c r="H402" s="33">
        <f>IFERROR(F402/ABS(C402),0)</f>
        <v/>
      </c>
      <c r="I402" s="44">
        <f>IF(AND(ABS(F402)&gt;=$L$2,ABS(H402)&gt;=$L$3),"Explain","")</f>
        <v/>
      </c>
      <c r="J402" s="2" t="n"/>
      <c r="K402" s="2" t="n"/>
      <c r="L402" s="2" t="n"/>
    </row>
    <row r="403">
      <c r="A403" s="21" t="inlineStr">
        <is>
          <t>Public safety - Fire</t>
        </is>
      </c>
      <c r="B403" s="36">
        <f>SUMIFS(GF_Budget_Detail!$E$5:$E$295,GF_Budget_Detail!$A$5:$A$295,$J$385,GF_Budget_Detail!$D$5:$D$295,"Public safety - Fire")</f>
        <v/>
      </c>
      <c r="C403" s="36">
        <f>SUMIFS(GF_Budget_Detail!$F$5:$F$295,GF_Budget_Detail!$A$5:$A$295,$J$385,GF_Budget_Detail!$D$5:$D$295,"Public safety - Fire")</f>
        <v/>
      </c>
      <c r="D403" s="36">
        <f>SUMIFS(GF_Budget_Detail!$G$5:$G$295,GF_Budget_Detail!$A$5:$A$295,$J$385,GF_Budget_Detail!$D$5:$D$295,"Public safety - Fire")</f>
        <v/>
      </c>
      <c r="E403" s="22">
        <f>C403-B403</f>
        <v/>
      </c>
      <c r="F403" s="22">
        <f>-(D403-C403)</f>
        <v/>
      </c>
      <c r="G403" s="43">
        <f>-(D403-B403)</f>
        <v/>
      </c>
      <c r="H403" s="33">
        <f>IFERROR(F403/ABS(C403),0)</f>
        <v/>
      </c>
      <c r="I403" s="44">
        <f>IF(AND(ABS(F403)&gt;=$L$2,ABS(H403)&gt;=$L$3),"Explain","")</f>
        <v/>
      </c>
      <c r="J403" s="2" t="n"/>
      <c r="K403" s="2" t="n"/>
      <c r="L403" s="2" t="n"/>
    </row>
    <row r="404">
      <c r="A404" s="21" t="inlineStr">
        <is>
          <t>Public safety (combined)</t>
        </is>
      </c>
      <c r="B404" s="36">
        <f>SUMIFS(GF_Budget_Detail!$E$5:$E$295,GF_Budget_Detail!$A$5:$A$295,$J$385,GF_Budget_Detail!$D$5:$D$295,"Public safety (combined)")</f>
        <v/>
      </c>
      <c r="C404" s="36">
        <f>SUMIFS(GF_Budget_Detail!$F$5:$F$295,GF_Budget_Detail!$A$5:$A$295,$J$385,GF_Budget_Detail!$D$5:$D$295,"Public safety (combined)")</f>
        <v/>
      </c>
      <c r="D404" s="36">
        <f>SUMIFS(GF_Budget_Detail!$G$5:$G$295,GF_Budget_Detail!$A$5:$A$295,$J$385,GF_Budget_Detail!$D$5:$D$295,"Public safety (combined)")</f>
        <v/>
      </c>
      <c r="E404" s="22">
        <f>C404-B404</f>
        <v/>
      </c>
      <c r="F404" s="22">
        <f>-(D404-C404)</f>
        <v/>
      </c>
      <c r="G404" s="43">
        <f>-(D404-B404)</f>
        <v/>
      </c>
      <c r="H404" s="33">
        <f>IFERROR(F404/ABS(C404),0)</f>
        <v/>
      </c>
      <c r="I404" s="44">
        <f>IF(AND(ABS(F404)&gt;=$L$2,ABS(H404)&gt;=$L$3),"Explain","")</f>
        <v/>
      </c>
      <c r="J404" s="2" t="n"/>
      <c r="K404" s="2" t="n"/>
      <c r="L404" s="2" t="n"/>
    </row>
    <row r="405">
      <c r="A405" s="21" t="inlineStr">
        <is>
          <t>Payment of sales tax to City of Richmond</t>
        </is>
      </c>
      <c r="B405" s="36">
        <f>SUMIFS(GF_Budget_Detail!$E$5:$E$295,GF_Budget_Detail!$A$5:$A$295,$J$385,GF_Budget_Detail!$D$5:$D$295,"Payment of sales tax to City of Richmond")</f>
        <v/>
      </c>
      <c r="C405" s="36">
        <f>SUMIFS(GF_Budget_Detail!$F$5:$F$295,GF_Budget_Detail!$A$5:$A$295,$J$385,GF_Budget_Detail!$D$5:$D$295,"Payment of sales tax to City of Richmond")</f>
        <v/>
      </c>
      <c r="D405" s="36">
        <f>SUMIFS(GF_Budget_Detail!$G$5:$G$295,GF_Budget_Detail!$A$5:$A$295,$J$385,GF_Budget_Detail!$D$5:$D$295,"Payment of sales tax to City of Richmond")</f>
        <v/>
      </c>
      <c r="E405" s="22">
        <f>C405-B405</f>
        <v/>
      </c>
      <c r="F405" s="22">
        <f>-(D405-C405)</f>
        <v/>
      </c>
      <c r="G405" s="43">
        <f>-(D405-B405)</f>
        <v/>
      </c>
      <c r="H405" s="33">
        <f>IFERROR(F405/ABS(C405),0)</f>
        <v/>
      </c>
      <c r="I405" s="44">
        <f>IF(AND(ABS(F405)&gt;=$L$2,ABS(H405)&gt;=$L$3),"Explain","")</f>
        <v/>
      </c>
      <c r="J405" s="2" t="n"/>
      <c r="K405" s="2" t="n"/>
      <c r="L405" s="2" t="n"/>
    </row>
    <row r="406">
      <c r="A406" s="21" t="inlineStr">
        <is>
          <t>Capital outlay</t>
        </is>
      </c>
      <c r="B406" s="36">
        <f>SUMIFS(GF_Budget_Detail!$E$5:$E$295,GF_Budget_Detail!$A$5:$A$295,$J$385,GF_Budget_Detail!$D$5:$D$295,"Capital outlay")</f>
        <v/>
      </c>
      <c r="C406" s="36">
        <f>SUMIFS(GF_Budget_Detail!$F$5:$F$295,GF_Budget_Detail!$A$5:$A$295,$J$385,GF_Budget_Detail!$D$5:$D$295,"Capital outlay")</f>
        <v/>
      </c>
      <c r="D406" s="36">
        <f>SUMIFS(GF_Budget_Detail!$G$5:$G$295,GF_Budget_Detail!$A$5:$A$295,$J$385,GF_Budget_Detail!$D$5:$D$295,"Capital outlay")</f>
        <v/>
      </c>
      <c r="E406" s="22">
        <f>C406-B406</f>
        <v/>
      </c>
      <c r="F406" s="22">
        <f>-(D406-C406)</f>
        <v/>
      </c>
      <c r="G406" s="43">
        <f>-(D406-B406)</f>
        <v/>
      </c>
      <c r="H406" s="33">
        <f>IFERROR(F406/ABS(C406),0)</f>
        <v/>
      </c>
      <c r="I406" s="44">
        <f>IF(AND(ABS(F406)&gt;=$L$2,ABS(H406)&gt;=$L$3),"Explain","")</f>
        <v/>
      </c>
      <c r="J406" s="2" t="n"/>
      <c r="K406" s="2" t="n"/>
      <c r="L406" s="2" t="n"/>
    </row>
    <row r="407">
      <c r="A407" s="21" t="inlineStr">
        <is>
          <t>Debt service - principal</t>
        </is>
      </c>
      <c r="B407" s="36">
        <f>SUMIFS(GF_Budget_Detail!$E$5:$E$295,GF_Budget_Detail!$A$5:$A$295,$J$385,GF_Budget_Detail!$D$5:$D$295,"Debt service - principal")</f>
        <v/>
      </c>
      <c r="C407" s="36">
        <f>SUMIFS(GF_Budget_Detail!$F$5:$F$295,GF_Budget_Detail!$A$5:$A$295,$J$385,GF_Budget_Detail!$D$5:$D$295,"Debt service - principal")</f>
        <v/>
      </c>
      <c r="D407" s="36">
        <f>SUMIFS(GF_Budget_Detail!$G$5:$G$295,GF_Budget_Detail!$A$5:$A$295,$J$385,GF_Budget_Detail!$D$5:$D$295,"Debt service - principal")</f>
        <v/>
      </c>
      <c r="E407" s="22">
        <f>C407-B407</f>
        <v/>
      </c>
      <c r="F407" s="22">
        <f>-(D407-C407)</f>
        <v/>
      </c>
      <c r="G407" s="43">
        <f>-(D407-B407)</f>
        <v/>
      </c>
      <c r="H407" s="33">
        <f>IFERROR(F407/ABS(C407),0)</f>
        <v/>
      </c>
      <c r="I407" s="44">
        <f>IF(AND(ABS(F407)&gt;=$L$2,ABS(H407)&gt;=$L$3),"Explain","")</f>
        <v/>
      </c>
      <c r="J407" s="2" t="n"/>
      <c r="K407" s="2" t="n"/>
      <c r="L407" s="2" t="n"/>
    </row>
    <row r="408">
      <c r="A408" s="21" t="inlineStr">
        <is>
          <t>Debt service - interest</t>
        </is>
      </c>
      <c r="B408" s="36">
        <f>SUMIFS(GF_Budget_Detail!$E$5:$E$295,GF_Budget_Detail!$A$5:$A$295,$J$385,GF_Budget_Detail!$D$5:$D$295,"Debt service - interest")</f>
        <v/>
      </c>
      <c r="C408" s="36">
        <f>SUMIFS(GF_Budget_Detail!$F$5:$F$295,GF_Budget_Detail!$A$5:$A$295,$J$385,GF_Budget_Detail!$D$5:$D$295,"Debt service - interest")</f>
        <v/>
      </c>
      <c r="D408" s="36">
        <f>SUMIFS(GF_Budget_Detail!$G$5:$G$295,GF_Budget_Detail!$A$5:$A$295,$J$385,GF_Budget_Detail!$D$5:$D$295,"Debt service - interest")</f>
        <v/>
      </c>
      <c r="E408" s="22">
        <f>C408-B408</f>
        <v/>
      </c>
      <c r="F408" s="22">
        <f>-(D408-C408)</f>
        <v/>
      </c>
      <c r="G408" s="43">
        <f>-(D408-B408)</f>
        <v/>
      </c>
      <c r="H408" s="33">
        <f>IFERROR(F408/ABS(C408),0)</f>
        <v/>
      </c>
      <c r="I408" s="44">
        <f>IF(AND(ABS(F408)&gt;=$L$2,ABS(H408)&gt;=$L$3),"Explain","")</f>
        <v/>
      </c>
      <c r="J408" s="2" t="n"/>
      <c r="K408" s="2" t="n"/>
      <c r="L408" s="2" t="n"/>
    </row>
    <row r="409">
      <c r="A409" s="21" t="inlineStr">
        <is>
          <t>Non-departmental (budget-report basis)</t>
        </is>
      </c>
      <c r="B409" s="36">
        <f>SUMIFS(GF_Budget_Detail!$E$5:$E$295,GF_Budget_Detail!$A$5:$A$295,$J$385,GF_Budget_Detail!$D$5:$D$295,"Non-departmental (budget-report basis)")</f>
        <v/>
      </c>
      <c r="C409" s="36">
        <f>SUMIFS(GF_Budget_Detail!$F$5:$F$295,GF_Budget_Detail!$A$5:$A$295,$J$385,GF_Budget_Detail!$D$5:$D$295,"Non-departmental (budget-report basis)")</f>
        <v/>
      </c>
      <c r="D409" s="36">
        <f>SUMIFS(GF_Budget_Detail!$G$5:$G$295,GF_Budget_Detail!$A$5:$A$295,$J$385,GF_Budget_Detail!$D$5:$D$295,"Non-departmental (budget-report basis)")</f>
        <v/>
      </c>
      <c r="E409" s="22">
        <f>C409-B409</f>
        <v/>
      </c>
      <c r="F409" s="22">
        <f>-(D409-C409)</f>
        <v/>
      </c>
      <c r="G409" s="43">
        <f>-(D409-B409)</f>
        <v/>
      </c>
      <c r="H409" s="33">
        <f>IFERROR(F409/ABS(C409),0)</f>
        <v/>
      </c>
      <c r="I409" s="44">
        <f>IF(AND(ABS(F409)&gt;=$L$2,ABS(H409)&gt;=$L$3),"Explain","")</f>
        <v/>
      </c>
      <c r="J409" s="2" t="n"/>
      <c r="K409" s="2" t="n"/>
      <c r="L409" s="2" t="n"/>
    </row>
    <row r="410">
      <c r="A410" s="21" t="inlineStr">
        <is>
          <t>Original budget not itemized by department</t>
        </is>
      </c>
      <c r="B410" s="36">
        <f>SUMIFS(GF_Budget_Detail!$E$5:$E$295,GF_Budget_Detail!$A$5:$A$295,$J$385,GF_Budget_Detail!$D$5:$D$295,"Original budget not itemized by department")</f>
        <v/>
      </c>
      <c r="C410" s="36">
        <f>SUMIFS(GF_Budget_Detail!$F$5:$F$295,GF_Budget_Detail!$A$5:$A$295,$J$385,GF_Budget_Detail!$D$5:$D$295,"Original budget not itemized by department")</f>
        <v/>
      </c>
      <c r="D410" s="36">
        <f>SUMIFS(GF_Budget_Detail!$G$5:$G$295,GF_Budget_Detail!$A$5:$A$295,$J$385,GF_Budget_Detail!$D$5:$D$295,"Original budget not itemized by department")</f>
        <v/>
      </c>
      <c r="E410" s="22">
        <f>C410-B410</f>
        <v/>
      </c>
      <c r="F410" s="22">
        <f>-(D410-C410)</f>
        <v/>
      </c>
      <c r="G410" s="43">
        <f>-(D410-B410)</f>
        <v/>
      </c>
      <c r="H410" s="33">
        <f>IFERROR(F410/ABS(C410),0)</f>
        <v/>
      </c>
      <c r="I410" s="44">
        <f>IF(AND(ABS(F410)&gt;=$L$2,ABS(H410)&gt;=$L$3),"Explain","")</f>
        <v/>
      </c>
      <c r="J410" s="2" t="n"/>
      <c r="K410" s="2" t="n"/>
      <c r="L410" s="2" t="n"/>
    </row>
    <row r="411">
      <c r="A411" s="12" t="inlineStr">
        <is>
          <t>Total expenditures</t>
        </is>
      </c>
      <c r="B411" s="24">
        <f>SUM(B398:B410)</f>
        <v/>
      </c>
      <c r="C411" s="24">
        <f>SUM(C398:C410)</f>
        <v/>
      </c>
      <c r="D411" s="24">
        <f>SUM(D398:D410)</f>
        <v/>
      </c>
      <c r="E411" s="24">
        <f>C411-B411</f>
        <v/>
      </c>
      <c r="F411" s="24">
        <f>-(D411-C411)</f>
        <v/>
      </c>
      <c r="G411" s="24">
        <f>-(D411-B411)</f>
        <v/>
      </c>
      <c r="H411" s="45">
        <f>IFERROR(F411/ABS(C411),0)</f>
        <v/>
      </c>
      <c r="I411" s="46">
        <f>IF(AND(ABS(F411)&gt;=$L$2,ABS(H411)&gt;=$L$3),"Explain","")</f>
        <v/>
      </c>
      <c r="J411" s="2" t="n"/>
      <c r="K411" s="2" t="n"/>
      <c r="L411" s="2" t="n"/>
    </row>
    <row r="412">
      <c r="A412" s="2" t="n"/>
      <c r="B412" s="2" t="n"/>
      <c r="C412" s="2" t="n"/>
      <c r="D412" s="2" t="n"/>
      <c r="E412" s="2" t="n"/>
      <c r="F412" s="2" t="n"/>
      <c r="G412" s="2" t="n"/>
      <c r="H412" s="2" t="n"/>
      <c r="I412" s="2" t="n"/>
      <c r="J412" s="2" t="n"/>
      <c r="K412" s="2" t="n"/>
      <c r="L412" s="2" t="n"/>
    </row>
    <row r="413">
      <c r="A413" s="21" t="inlineStr">
        <is>
          <t>Transfers in</t>
        </is>
      </c>
      <c r="B413" s="36">
        <f>SUMIFS(GF_Budget_Detail!$E$5:$E$295,GF_Budget_Detail!$A$5:$A$295,$J$385,GF_Budget_Detail!$D$5:$D$295,"Transfers in")</f>
        <v/>
      </c>
      <c r="C413" s="36">
        <f>SUMIFS(GF_Budget_Detail!$F$5:$F$295,GF_Budget_Detail!$A$5:$A$295,$J$385,GF_Budget_Detail!$D$5:$D$295,"Transfers in")</f>
        <v/>
      </c>
      <c r="D413" s="36">
        <f>SUMIFS(GF_Budget_Detail!$G$5:$G$295,GF_Budget_Detail!$A$5:$A$295,$J$385,GF_Budget_Detail!$D$5:$D$295,"Transfers in")</f>
        <v/>
      </c>
      <c r="E413" s="22">
        <f>C413-B413</f>
        <v/>
      </c>
      <c r="F413" s="22">
        <f>(D413-C413)</f>
        <v/>
      </c>
      <c r="G413" s="43">
        <f>(D413-B413)</f>
        <v/>
      </c>
      <c r="H413" s="33">
        <f>IFERROR(F413/ABS(C413),0)</f>
        <v/>
      </c>
      <c r="I413" s="44">
        <f>IF(AND(ABS(F413)&gt;=$L$2,ABS(H413)&gt;=$L$3),"Explain","")</f>
        <v/>
      </c>
      <c r="J413" s="2" t="n"/>
      <c r="K413" s="2" t="n"/>
      <c r="L413" s="2" t="n"/>
    </row>
    <row r="414">
      <c r="A414" s="21" t="inlineStr">
        <is>
          <t>Transfers out</t>
        </is>
      </c>
      <c r="B414" s="36">
        <f>SUMIFS(GF_Budget_Detail!$E$5:$E$295,GF_Budget_Detail!$A$5:$A$295,$J$385,GF_Budget_Detail!$D$5:$D$295,"Transfers out")</f>
        <v/>
      </c>
      <c r="C414" s="36">
        <f>SUMIFS(GF_Budget_Detail!$F$5:$F$295,GF_Budget_Detail!$A$5:$A$295,$J$385,GF_Budget_Detail!$D$5:$D$295,"Transfers out")</f>
        <v/>
      </c>
      <c r="D414" s="36">
        <f>SUMIFS(GF_Budget_Detail!$G$5:$G$295,GF_Budget_Detail!$A$5:$A$295,$J$385,GF_Budget_Detail!$D$5:$D$295,"Transfers out")</f>
        <v/>
      </c>
      <c r="E414" s="22">
        <f>C414-B414</f>
        <v/>
      </c>
      <c r="F414" s="22">
        <f>(D414-C414)</f>
        <v/>
      </c>
      <c r="G414" s="43">
        <f>(D414-B414)</f>
        <v/>
      </c>
      <c r="H414" s="33">
        <f>IFERROR(F414/ABS(C414),0)</f>
        <v/>
      </c>
      <c r="I414" s="44">
        <f>IF(AND(ABS(F414)&gt;=$L$2,ABS(H414)&gt;=$L$3),"Explain","")</f>
        <v/>
      </c>
      <c r="J414" s="2" t="n"/>
      <c r="K414" s="2" t="n"/>
      <c r="L414" s="2" t="n"/>
    </row>
    <row r="415">
      <c r="A415" s="21" t="inlineStr">
        <is>
          <t>Debt / lease financing proceeds</t>
        </is>
      </c>
      <c r="B415" s="36">
        <f>SUMIFS(GF_Budget_Detail!$E$5:$E$295,GF_Budget_Detail!$A$5:$A$295,$J$385,GF_Budget_Detail!$D$5:$D$295,"Debt / lease financing proceeds")</f>
        <v/>
      </c>
      <c r="C415" s="36">
        <f>SUMIFS(GF_Budget_Detail!$F$5:$F$295,GF_Budget_Detail!$A$5:$A$295,$J$385,GF_Budget_Detail!$D$5:$D$295,"Debt / lease financing proceeds")</f>
        <v/>
      </c>
      <c r="D415" s="36">
        <f>SUMIFS(GF_Budget_Detail!$G$5:$G$295,GF_Budget_Detail!$A$5:$A$295,$J$385,GF_Budget_Detail!$D$5:$D$295,"Debt / lease financing proceeds")</f>
        <v/>
      </c>
      <c r="E415" s="22">
        <f>C415-B415</f>
        <v/>
      </c>
      <c r="F415" s="22">
        <f>(D415-C415)</f>
        <v/>
      </c>
      <c r="G415" s="43">
        <f>(D415-B415)</f>
        <v/>
      </c>
      <c r="H415" s="33">
        <f>IFERROR(F415/ABS(C415),0)</f>
        <v/>
      </c>
      <c r="I415" s="44">
        <f>IF(AND(ABS(F415)&gt;=$L$2,ABS(H415)&gt;=$L$3),"Explain","")</f>
        <v/>
      </c>
      <c r="J415" s="2" t="n"/>
      <c r="K415" s="2" t="n"/>
      <c r="L415" s="2" t="n"/>
    </row>
    <row r="416">
      <c r="A416" s="21" t="inlineStr">
        <is>
          <t>Proceeds from sale of capital assets</t>
        </is>
      </c>
      <c r="B416" s="36">
        <f>SUMIFS(GF_Budget_Detail!$E$5:$E$295,GF_Budget_Detail!$A$5:$A$295,$J$385,GF_Budget_Detail!$D$5:$D$295,"Proceeds from sale of capital assets")</f>
        <v/>
      </c>
      <c r="C416" s="36">
        <f>SUMIFS(GF_Budget_Detail!$F$5:$F$295,GF_Budget_Detail!$A$5:$A$295,$J$385,GF_Budget_Detail!$D$5:$D$295,"Proceeds from sale of capital assets")</f>
        <v/>
      </c>
      <c r="D416" s="36">
        <f>SUMIFS(GF_Budget_Detail!$G$5:$G$295,GF_Budget_Detail!$A$5:$A$295,$J$385,GF_Budget_Detail!$D$5:$D$295,"Proceeds from sale of capital assets")</f>
        <v/>
      </c>
      <c r="E416" s="22">
        <f>C416-B416</f>
        <v/>
      </c>
      <c r="F416" s="22">
        <f>(D416-C416)</f>
        <v/>
      </c>
      <c r="G416" s="43">
        <f>(D416-B416)</f>
        <v/>
      </c>
      <c r="H416" s="33">
        <f>IFERROR(F416/ABS(C416),0)</f>
        <v/>
      </c>
      <c r="I416" s="44">
        <f>IF(AND(ABS(F416)&gt;=$L$2,ABS(H416)&gt;=$L$3),"Explain","")</f>
        <v/>
      </c>
      <c r="J416" s="2" t="n"/>
      <c r="K416" s="2" t="n"/>
      <c r="L416" s="2" t="n"/>
    </row>
    <row r="417">
      <c r="A417" s="21" t="inlineStr">
        <is>
          <t>Special items</t>
        </is>
      </c>
      <c r="B417" s="36">
        <f>SUMIFS(GF_Budget_Detail!$E$5:$E$295,GF_Budget_Detail!$A$5:$A$295,$J$385,GF_Budget_Detail!$D$5:$D$295,"Special items")</f>
        <v/>
      </c>
      <c r="C417" s="36">
        <f>SUMIFS(GF_Budget_Detail!$F$5:$F$295,GF_Budget_Detail!$A$5:$A$295,$J$385,GF_Budget_Detail!$D$5:$D$295,"Special items")</f>
        <v/>
      </c>
      <c r="D417" s="36">
        <f>SUMIFS(GF_Budget_Detail!$G$5:$G$295,GF_Budget_Detail!$A$5:$A$295,$J$385,GF_Budget_Detail!$D$5:$D$295,"Special items")</f>
        <v/>
      </c>
      <c r="E417" s="22">
        <f>C417-B417</f>
        <v/>
      </c>
      <c r="F417" s="22">
        <f>(D417-C417)</f>
        <v/>
      </c>
      <c r="G417" s="43">
        <f>(D417-B417)</f>
        <v/>
      </c>
      <c r="H417" s="33">
        <f>IFERROR(F417/ABS(C417),0)</f>
        <v/>
      </c>
      <c r="I417" s="44">
        <f>IF(AND(ABS(F417)&gt;=$L$2,ABS(H417)&gt;=$L$3),"Explain","")</f>
        <v/>
      </c>
      <c r="J417" s="2" t="n"/>
      <c r="K417" s="2" t="n"/>
      <c r="L417" s="2" t="n"/>
    </row>
    <row r="418">
      <c r="A418" s="12" t="inlineStr">
        <is>
          <t>Total other financing sources (uses) and special items</t>
        </is>
      </c>
      <c r="B418" s="24">
        <f>SUM(B413:B417)</f>
        <v/>
      </c>
      <c r="C418" s="24">
        <f>SUM(C413:C417)</f>
        <v/>
      </c>
      <c r="D418" s="24">
        <f>SUM(D413:D417)</f>
        <v/>
      </c>
      <c r="E418" s="24">
        <f>C418-B418</f>
        <v/>
      </c>
      <c r="F418" s="24">
        <f>(D418-C418)</f>
        <v/>
      </c>
      <c r="G418" s="24">
        <f>(D418-B418)</f>
        <v/>
      </c>
      <c r="H418" s="45">
        <f>IFERROR(F418/ABS(C418),0)</f>
        <v/>
      </c>
      <c r="I418" s="46">
        <f>IF(AND(ABS(F418)&gt;=$L$2,ABS(H418)&gt;=$L$3),"Explain","")</f>
        <v/>
      </c>
      <c r="J418" s="2" t="n"/>
      <c r="K418" s="2" t="n"/>
      <c r="L418" s="2" t="n"/>
    </row>
    <row r="419">
      <c r="A419" s="2" t="n"/>
      <c r="B419" s="2" t="n"/>
      <c r="C419" s="2" t="n"/>
      <c r="D419" s="2" t="n"/>
      <c r="E419" s="2" t="n"/>
      <c r="F419" s="2" t="n"/>
      <c r="G419" s="2" t="n"/>
      <c r="H419" s="2" t="n"/>
      <c r="I419" s="2" t="n"/>
      <c r="J419" s="2" t="n"/>
      <c r="K419" s="2" t="n"/>
      <c r="L419" s="2" t="n"/>
    </row>
    <row r="420">
      <c r="A420" s="12" t="inlineStr">
        <is>
          <t>Net change in fund balance</t>
        </is>
      </c>
      <c r="B420" s="31">
        <f>B396-B411+B418</f>
        <v/>
      </c>
      <c r="C420" s="31">
        <f>C396-C411+C418</f>
        <v/>
      </c>
      <c r="D420" s="31">
        <f>D396-D411+D418</f>
        <v/>
      </c>
      <c r="E420" s="31">
        <f>C420-B420</f>
        <v/>
      </c>
      <c r="F420" s="31">
        <f>D420-C420</f>
        <v/>
      </c>
      <c r="G420" s="31">
        <f>D420-B420</f>
        <v/>
      </c>
      <c r="H420" s="2" t="n"/>
      <c r="I420" s="2" t="n"/>
      <c r="J420" s="2" t="n"/>
      <c r="K420" s="2" t="n"/>
      <c r="L420" s="2" t="n"/>
    </row>
    <row r="421">
      <c r="A421" s="2" t="n"/>
      <c r="B421" s="2" t="n"/>
      <c r="C421" s="2" t="n"/>
      <c r="D421" s="2" t="n"/>
      <c r="E421" s="2" t="n"/>
      <c r="F421" s="2" t="n"/>
      <c r="G421" s="2" t="n"/>
      <c r="H421" s="2" t="n"/>
      <c r="I421" s="2" t="n"/>
      <c r="J421" s="2" t="n"/>
      <c r="K421" s="2" t="n"/>
      <c r="L421" s="2" t="n"/>
    </row>
    <row r="422">
      <c r="A422" s="2" t="n"/>
      <c r="B422" s="2" t="n"/>
      <c r="C422" s="2" t="n"/>
      <c r="D422" s="2" t="n"/>
      <c r="E422" s="2" t="n"/>
      <c r="F422" s="2" t="n"/>
      <c r="G422" s="2" t="n"/>
      <c r="H422" s="2" t="n"/>
      <c r="I422" s="2" t="n"/>
      <c r="J422" s="2" t="n"/>
      <c r="K422" s="2" t="n"/>
      <c r="L422" s="2" t="n"/>
    </row>
    <row r="423">
      <c r="A423" s="16" t="inlineStr">
        <is>
          <t>FY2024-25 (year ended June 30, 2025)  -  Budgetary comparison schedule, General Fund  -  GAAP (modified accrual) budgetary basis</t>
        </is>
      </c>
      <c r="B423" s="39" t="n"/>
      <c r="C423" s="39" t="n"/>
      <c r="D423" s="39" t="n"/>
      <c r="E423" s="39" t="n"/>
      <c r="F423" s="39" t="n"/>
      <c r="G423" s="39" t="n"/>
      <c r="H423" s="39" t="n"/>
      <c r="I423" s="39" t="n"/>
      <c r="J423" s="40" t="n">
        <v>2025</v>
      </c>
      <c r="K423" s="2" t="n"/>
      <c r="L423" s="2" t="n"/>
    </row>
    <row r="424" ht="54" customHeight="1">
      <c r="A424" s="41" t="inlineStr">
        <is>
          <t>Category</t>
        </is>
      </c>
      <c r="B424" s="41" t="inlineStr">
        <is>
          <t>Budgeted amounts - Original</t>
        </is>
      </c>
      <c r="C424" s="41" t="inlineStr">
        <is>
          <t>Budgeted amounts - Final</t>
        </is>
      </c>
      <c r="D424" s="41" t="inlineStr">
        <is>
          <t>Actual amounts (budgetary basis)</t>
        </is>
      </c>
      <c r="E424" s="41" t="inlineStr">
        <is>
          <t>Variance: Original to Final budget, increase (decrease)</t>
        </is>
      </c>
      <c r="F424" s="41" t="inlineStr">
        <is>
          <t>Variance with Final budget, positive (negative)</t>
        </is>
      </c>
      <c r="G424" s="42" t="inlineStr">
        <is>
          <t>Variance with Original budget, positive (negative) [supplementary]</t>
        </is>
      </c>
      <c r="H424" s="41" t="inlineStr">
        <is>
          <t>Variance with Final budget %</t>
        </is>
      </c>
      <c r="I424" s="41" t="inlineStr">
        <is>
          <t>Significant variance? (GASB 103 note candidate)</t>
        </is>
      </c>
      <c r="J424" s="2" t="n"/>
      <c r="K424" s="2" t="n"/>
      <c r="L424" s="2" t="n"/>
    </row>
    <row r="425">
      <c r="A425" s="21" t="inlineStr">
        <is>
          <t>Property taxes</t>
        </is>
      </c>
      <c r="B425" s="36">
        <f>SUMIFS(GF_Budget_Detail!$E$5:$E$295,GF_Budget_Detail!$A$5:$A$295,$J$423,GF_Budget_Detail!$D$5:$D$295,"Property taxes")</f>
        <v/>
      </c>
      <c r="C425" s="36">
        <f>SUMIFS(GF_Budget_Detail!$F$5:$F$295,GF_Budget_Detail!$A$5:$A$295,$J$423,GF_Budget_Detail!$D$5:$D$295,"Property taxes")</f>
        <v/>
      </c>
      <c r="D425" s="36">
        <f>SUMIFS(GF_Budget_Detail!$G$5:$G$295,GF_Budget_Detail!$A$5:$A$295,$J$423,GF_Budget_Detail!$D$5:$D$295,"Property taxes")</f>
        <v/>
      </c>
      <c r="E425" s="22">
        <f>C425-B425</f>
        <v/>
      </c>
      <c r="F425" s="22">
        <f>(D425-C425)</f>
        <v/>
      </c>
      <c r="G425" s="43">
        <f>(D425-B425)</f>
        <v/>
      </c>
      <c r="H425" s="33">
        <f>IFERROR(F425/ABS(C425),0)</f>
        <v/>
      </c>
      <c r="I425" s="44">
        <f>IF(AND(ABS(F425)&gt;=$L$2,ABS(H425)&gt;=$L$3),"Explain","")</f>
        <v/>
      </c>
      <c r="J425" s="2" t="n"/>
      <c r="K425" s="2" t="n"/>
      <c r="L425" s="2" t="n"/>
    </row>
    <row r="426">
      <c r="A426" s="21" t="inlineStr">
        <is>
          <t>Taxes other than property</t>
        </is>
      </c>
      <c r="B426" s="36">
        <f>SUMIFS(GF_Budget_Detail!$E$5:$E$295,GF_Budget_Detail!$A$5:$A$295,$J$423,GF_Budget_Detail!$D$5:$D$295,"Taxes other than property")</f>
        <v/>
      </c>
      <c r="C426" s="36">
        <f>SUMIFS(GF_Budget_Detail!$F$5:$F$295,GF_Budget_Detail!$A$5:$A$295,$J$423,GF_Budget_Detail!$D$5:$D$295,"Taxes other than property")</f>
        <v/>
      </c>
      <c r="D426" s="36">
        <f>SUMIFS(GF_Budget_Detail!$G$5:$G$295,GF_Budget_Detail!$A$5:$A$295,$J$423,GF_Budget_Detail!$D$5:$D$295,"Taxes other than property")</f>
        <v/>
      </c>
      <c r="E426" s="22">
        <f>C426-B426</f>
        <v/>
      </c>
      <c r="F426" s="22">
        <f>(D426-C426)</f>
        <v/>
      </c>
      <c r="G426" s="43">
        <f>(D426-B426)</f>
        <v/>
      </c>
      <c r="H426" s="33">
        <f>IFERROR(F426/ABS(C426),0)</f>
        <v/>
      </c>
      <c r="I426" s="44">
        <f>IF(AND(ABS(F426)&gt;=$L$2,ABS(H426)&gt;=$L$3),"Explain","")</f>
        <v/>
      </c>
      <c r="J426" s="2" t="n"/>
      <c r="K426" s="2" t="n"/>
      <c r="L426" s="2" t="n"/>
    </row>
    <row r="427">
      <c r="A427" s="21" t="inlineStr">
        <is>
          <t>Taxes and assessments (combined)</t>
        </is>
      </c>
      <c r="B427" s="36">
        <f>SUMIFS(GF_Budget_Detail!$E$5:$E$295,GF_Budget_Detail!$A$5:$A$295,$J$423,GF_Budget_Detail!$D$5:$D$295,"Taxes and assessments (combined)")</f>
        <v/>
      </c>
      <c r="C427" s="36">
        <f>SUMIFS(GF_Budget_Detail!$F$5:$F$295,GF_Budget_Detail!$A$5:$A$295,$J$423,GF_Budget_Detail!$D$5:$D$295,"Taxes and assessments (combined)")</f>
        <v/>
      </c>
      <c r="D427" s="36">
        <f>SUMIFS(GF_Budget_Detail!$G$5:$G$295,GF_Budget_Detail!$A$5:$A$295,$J$423,GF_Budget_Detail!$D$5:$D$295,"Taxes and assessments (combined)")</f>
        <v/>
      </c>
      <c r="E427" s="22">
        <f>C427-B427</f>
        <v/>
      </c>
      <c r="F427" s="22">
        <f>(D427-C427)</f>
        <v/>
      </c>
      <c r="G427" s="43">
        <f>(D427-B427)</f>
        <v/>
      </c>
      <c r="H427" s="33">
        <f>IFERROR(F427/ABS(C427),0)</f>
        <v/>
      </c>
      <c r="I427" s="44">
        <f>IF(AND(ABS(F427)&gt;=$L$2,ABS(H427)&gt;=$L$3),"Explain","")</f>
        <v/>
      </c>
      <c r="J427" s="2" t="n"/>
      <c r="K427" s="2" t="n"/>
      <c r="L427" s="2" t="n"/>
    </row>
    <row r="428">
      <c r="A428" s="21" t="inlineStr">
        <is>
          <t>Licenses and permits</t>
        </is>
      </c>
      <c r="B428" s="36">
        <f>SUMIFS(GF_Budget_Detail!$E$5:$E$295,GF_Budget_Detail!$A$5:$A$295,$J$423,GF_Budget_Detail!$D$5:$D$295,"Licenses and permits")</f>
        <v/>
      </c>
      <c r="C428" s="36">
        <f>SUMIFS(GF_Budget_Detail!$F$5:$F$295,GF_Budget_Detail!$A$5:$A$295,$J$423,GF_Budget_Detail!$D$5:$D$295,"Licenses and permits")</f>
        <v/>
      </c>
      <c r="D428" s="36">
        <f>SUMIFS(GF_Budget_Detail!$G$5:$G$295,GF_Budget_Detail!$A$5:$A$295,$J$423,GF_Budget_Detail!$D$5:$D$295,"Licenses and permits")</f>
        <v/>
      </c>
      <c r="E428" s="22">
        <f>C428-B428</f>
        <v/>
      </c>
      <c r="F428" s="22">
        <f>(D428-C428)</f>
        <v/>
      </c>
      <c r="G428" s="43">
        <f>(D428-B428)</f>
        <v/>
      </c>
      <c r="H428" s="33">
        <f>IFERROR(F428/ABS(C428),0)</f>
        <v/>
      </c>
      <c r="I428" s="44">
        <f>IF(AND(ABS(F428)&gt;=$L$2,ABS(H428)&gt;=$L$3),"Explain","")</f>
        <v/>
      </c>
      <c r="J428" s="2" t="n"/>
      <c r="K428" s="2" t="n"/>
      <c r="L428" s="2" t="n"/>
    </row>
    <row r="429">
      <c r="A429" s="21" t="inlineStr">
        <is>
          <t>Fines and forfeitures</t>
        </is>
      </c>
      <c r="B429" s="36">
        <f>SUMIFS(GF_Budget_Detail!$E$5:$E$295,GF_Budget_Detail!$A$5:$A$295,$J$423,GF_Budget_Detail!$D$5:$D$295,"Fines and forfeitures")</f>
        <v/>
      </c>
      <c r="C429" s="36">
        <f>SUMIFS(GF_Budget_Detail!$F$5:$F$295,GF_Budget_Detail!$A$5:$A$295,$J$423,GF_Budget_Detail!$D$5:$D$295,"Fines and forfeitures")</f>
        <v/>
      </c>
      <c r="D429" s="36">
        <f>SUMIFS(GF_Budget_Detail!$G$5:$G$295,GF_Budget_Detail!$A$5:$A$295,$J$423,GF_Budget_Detail!$D$5:$D$295,"Fines and forfeitures")</f>
        <v/>
      </c>
      <c r="E429" s="22">
        <f>C429-B429</f>
        <v/>
      </c>
      <c r="F429" s="22">
        <f>(D429-C429)</f>
        <v/>
      </c>
      <c r="G429" s="43">
        <f>(D429-B429)</f>
        <v/>
      </c>
      <c r="H429" s="33">
        <f>IFERROR(F429/ABS(C429),0)</f>
        <v/>
      </c>
      <c r="I429" s="44">
        <f>IF(AND(ABS(F429)&gt;=$L$2,ABS(H429)&gt;=$L$3),"Explain","")</f>
        <v/>
      </c>
      <c r="J429" s="2" t="n"/>
      <c r="K429" s="2" t="n"/>
      <c r="L429" s="2" t="n"/>
    </row>
    <row r="430">
      <c r="A430" s="21" t="inlineStr">
        <is>
          <t>Use of money and property</t>
        </is>
      </c>
      <c r="B430" s="36">
        <f>SUMIFS(GF_Budget_Detail!$E$5:$E$295,GF_Budget_Detail!$A$5:$A$295,$J$423,GF_Budget_Detail!$D$5:$D$295,"Use of money and property")</f>
        <v/>
      </c>
      <c r="C430" s="36">
        <f>SUMIFS(GF_Budget_Detail!$F$5:$F$295,GF_Budget_Detail!$A$5:$A$295,$J$423,GF_Budget_Detail!$D$5:$D$295,"Use of money and property")</f>
        <v/>
      </c>
      <c r="D430" s="36">
        <f>SUMIFS(GF_Budget_Detail!$G$5:$G$295,GF_Budget_Detail!$A$5:$A$295,$J$423,GF_Budget_Detail!$D$5:$D$295,"Use of money and property")</f>
        <v/>
      </c>
      <c r="E430" s="22">
        <f>C430-B430</f>
        <v/>
      </c>
      <c r="F430" s="22">
        <f>(D430-C430)</f>
        <v/>
      </c>
      <c r="G430" s="43">
        <f>(D430-B430)</f>
        <v/>
      </c>
      <c r="H430" s="33">
        <f>IFERROR(F430/ABS(C430),0)</f>
        <v/>
      </c>
      <c r="I430" s="44">
        <f>IF(AND(ABS(F430)&gt;=$L$2,ABS(H430)&gt;=$L$3),"Explain","")</f>
        <v/>
      </c>
      <c r="J430" s="2" t="n"/>
      <c r="K430" s="2" t="n"/>
      <c r="L430" s="2" t="n"/>
    </row>
    <row r="431">
      <c r="A431" s="21" t="inlineStr">
        <is>
          <t>Intergovernmental</t>
        </is>
      </c>
      <c r="B431" s="36">
        <f>SUMIFS(GF_Budget_Detail!$E$5:$E$295,GF_Budget_Detail!$A$5:$A$295,$J$423,GF_Budget_Detail!$D$5:$D$295,"Intergovernmental")</f>
        <v/>
      </c>
      <c r="C431" s="36">
        <f>SUMIFS(GF_Budget_Detail!$F$5:$F$295,GF_Budget_Detail!$A$5:$A$295,$J$423,GF_Budget_Detail!$D$5:$D$295,"Intergovernmental")</f>
        <v/>
      </c>
      <c r="D431" s="36">
        <f>SUMIFS(GF_Budget_Detail!$G$5:$G$295,GF_Budget_Detail!$A$5:$A$295,$J$423,GF_Budget_Detail!$D$5:$D$295,"Intergovernmental")</f>
        <v/>
      </c>
      <c r="E431" s="22">
        <f>C431-B431</f>
        <v/>
      </c>
      <c r="F431" s="22">
        <f>(D431-C431)</f>
        <v/>
      </c>
      <c r="G431" s="43">
        <f>(D431-B431)</f>
        <v/>
      </c>
      <c r="H431" s="33">
        <f>IFERROR(F431/ABS(C431),0)</f>
        <v/>
      </c>
      <c r="I431" s="44">
        <f>IF(AND(ABS(F431)&gt;=$L$2,ABS(H431)&gt;=$L$3),"Explain","")</f>
        <v/>
      </c>
      <c r="J431" s="2" t="n"/>
      <c r="K431" s="2" t="n"/>
      <c r="L431" s="2" t="n"/>
    </row>
    <row r="432">
      <c r="A432" s="21" t="inlineStr">
        <is>
          <t>Charges for services</t>
        </is>
      </c>
      <c r="B432" s="36">
        <f>SUMIFS(GF_Budget_Detail!$E$5:$E$295,GF_Budget_Detail!$A$5:$A$295,$J$423,GF_Budget_Detail!$D$5:$D$295,"Charges for services")</f>
        <v/>
      </c>
      <c r="C432" s="36">
        <f>SUMIFS(GF_Budget_Detail!$F$5:$F$295,GF_Budget_Detail!$A$5:$A$295,$J$423,GF_Budget_Detail!$D$5:$D$295,"Charges for services")</f>
        <v/>
      </c>
      <c r="D432" s="36">
        <f>SUMIFS(GF_Budget_Detail!$G$5:$G$295,GF_Budget_Detail!$A$5:$A$295,$J$423,GF_Budget_Detail!$D$5:$D$295,"Charges for services")</f>
        <v/>
      </c>
      <c r="E432" s="22">
        <f>C432-B432</f>
        <v/>
      </c>
      <c r="F432" s="22">
        <f>(D432-C432)</f>
        <v/>
      </c>
      <c r="G432" s="43">
        <f>(D432-B432)</f>
        <v/>
      </c>
      <c r="H432" s="33">
        <f>IFERROR(F432/ABS(C432),0)</f>
        <v/>
      </c>
      <c r="I432" s="44">
        <f>IF(AND(ABS(F432)&gt;=$L$2,ABS(H432)&gt;=$L$3),"Explain","")</f>
        <v/>
      </c>
      <c r="J432" s="2" t="n"/>
      <c r="K432" s="2" t="n"/>
      <c r="L432" s="2" t="n"/>
    </row>
    <row r="433">
      <c r="A433" s="21" t="inlineStr">
        <is>
          <t>Other revenues</t>
        </is>
      </c>
      <c r="B433" s="36">
        <f>SUMIFS(GF_Budget_Detail!$E$5:$E$295,GF_Budget_Detail!$A$5:$A$295,$J$423,GF_Budget_Detail!$D$5:$D$295,"Other revenues")</f>
        <v/>
      </c>
      <c r="C433" s="36">
        <f>SUMIFS(GF_Budget_Detail!$F$5:$F$295,GF_Budget_Detail!$A$5:$A$295,$J$423,GF_Budget_Detail!$D$5:$D$295,"Other revenues")</f>
        <v/>
      </c>
      <c r="D433" s="36">
        <f>SUMIFS(GF_Budget_Detail!$G$5:$G$295,GF_Budget_Detail!$A$5:$A$295,$J$423,GF_Budget_Detail!$D$5:$D$295,"Other revenues")</f>
        <v/>
      </c>
      <c r="E433" s="22">
        <f>C433-B433</f>
        <v/>
      </c>
      <c r="F433" s="22">
        <f>(D433-C433)</f>
        <v/>
      </c>
      <c r="G433" s="43">
        <f>(D433-B433)</f>
        <v/>
      </c>
      <c r="H433" s="33">
        <f>IFERROR(F433/ABS(C433),0)</f>
        <v/>
      </c>
      <c r="I433" s="44">
        <f>IF(AND(ABS(F433)&gt;=$L$2,ABS(H433)&gt;=$L$3),"Explain","")</f>
        <v/>
      </c>
      <c r="J433" s="2" t="n"/>
      <c r="K433" s="2" t="n"/>
      <c r="L433" s="2" t="n"/>
    </row>
    <row r="434">
      <c r="A434" s="12" t="inlineStr">
        <is>
          <t>Total revenues</t>
        </is>
      </c>
      <c r="B434" s="24">
        <f>SUM(B425:B433)</f>
        <v/>
      </c>
      <c r="C434" s="24">
        <f>SUM(C425:C433)</f>
        <v/>
      </c>
      <c r="D434" s="24">
        <f>SUM(D425:D433)</f>
        <v/>
      </c>
      <c r="E434" s="24">
        <f>C434-B434</f>
        <v/>
      </c>
      <c r="F434" s="24">
        <f>(D434-C434)</f>
        <v/>
      </c>
      <c r="G434" s="24">
        <f>(D434-B434)</f>
        <v/>
      </c>
      <c r="H434" s="45">
        <f>IFERROR(F434/ABS(C434),0)</f>
        <v/>
      </c>
      <c r="I434" s="46">
        <f>IF(AND(ABS(F434)&gt;=$L$2,ABS(H434)&gt;=$L$3),"Explain","")</f>
        <v/>
      </c>
      <c r="J434" s="2" t="n"/>
      <c r="K434" s="2" t="n"/>
      <c r="L434" s="2" t="n"/>
    </row>
    <row r="435">
      <c r="A435" s="2" t="n"/>
      <c r="B435" s="2" t="n"/>
      <c r="C435" s="2" t="n"/>
      <c r="D435" s="2" t="n"/>
      <c r="E435" s="2" t="n"/>
      <c r="F435" s="2" t="n"/>
      <c r="G435" s="2" t="n"/>
      <c r="H435" s="2" t="n"/>
      <c r="I435" s="2" t="n"/>
      <c r="J435" s="2" t="n"/>
      <c r="K435" s="2" t="n"/>
      <c r="L435" s="2" t="n"/>
    </row>
    <row r="436">
      <c r="A436" s="21" t="inlineStr">
        <is>
          <t>General government</t>
        </is>
      </c>
      <c r="B436" s="36">
        <f>SUMIFS(GF_Budget_Detail!$E$5:$E$295,GF_Budget_Detail!$A$5:$A$295,$J$423,GF_Budget_Detail!$D$5:$D$295,"General government")</f>
        <v/>
      </c>
      <c r="C436" s="36">
        <f>SUMIFS(GF_Budget_Detail!$F$5:$F$295,GF_Budget_Detail!$A$5:$A$295,$J$423,GF_Budget_Detail!$D$5:$D$295,"General government")</f>
        <v/>
      </c>
      <c r="D436" s="36">
        <f>SUMIFS(GF_Budget_Detail!$G$5:$G$295,GF_Budget_Detail!$A$5:$A$295,$J$423,GF_Budget_Detail!$D$5:$D$295,"General government")</f>
        <v/>
      </c>
      <c r="E436" s="22">
        <f>C436-B436</f>
        <v/>
      </c>
      <c r="F436" s="22">
        <f>-(D436-C436)</f>
        <v/>
      </c>
      <c r="G436" s="43">
        <f>-(D436-B436)</f>
        <v/>
      </c>
      <c r="H436" s="33">
        <f>IFERROR(F436/ABS(C436),0)</f>
        <v/>
      </c>
      <c r="I436" s="44">
        <f>IF(AND(ABS(F436)&gt;=$L$2,ABS(H436)&gt;=$L$3),"Explain","")</f>
        <v/>
      </c>
      <c r="J436" s="2" t="n"/>
      <c r="K436" s="2" t="n"/>
      <c r="L436" s="2" t="n"/>
    </row>
    <row r="437">
      <c r="A437" s="21" t="inlineStr">
        <is>
          <t>Public works</t>
        </is>
      </c>
      <c r="B437" s="36">
        <f>SUMIFS(GF_Budget_Detail!$E$5:$E$295,GF_Budget_Detail!$A$5:$A$295,$J$423,GF_Budget_Detail!$D$5:$D$295,"Public works")</f>
        <v/>
      </c>
      <c r="C437" s="36">
        <f>SUMIFS(GF_Budget_Detail!$F$5:$F$295,GF_Budget_Detail!$A$5:$A$295,$J$423,GF_Budget_Detail!$D$5:$D$295,"Public works")</f>
        <v/>
      </c>
      <c r="D437" s="36">
        <f>SUMIFS(GF_Budget_Detail!$G$5:$G$295,GF_Budget_Detail!$A$5:$A$295,$J$423,GF_Budget_Detail!$D$5:$D$295,"Public works")</f>
        <v/>
      </c>
      <c r="E437" s="22">
        <f>C437-B437</f>
        <v/>
      </c>
      <c r="F437" s="22">
        <f>-(D437-C437)</f>
        <v/>
      </c>
      <c r="G437" s="43">
        <f>-(D437-B437)</f>
        <v/>
      </c>
      <c r="H437" s="33">
        <f>IFERROR(F437/ABS(C437),0)</f>
        <v/>
      </c>
      <c r="I437" s="44">
        <f>IF(AND(ABS(F437)&gt;=$L$2,ABS(H437)&gt;=$L$3),"Explain","")</f>
        <v/>
      </c>
      <c r="J437" s="2" t="n"/>
      <c r="K437" s="2" t="n"/>
      <c r="L437" s="2" t="n"/>
    </row>
    <row r="438">
      <c r="A438" s="21" t="inlineStr">
        <is>
          <t>Recreation</t>
        </is>
      </c>
      <c r="B438" s="36">
        <f>SUMIFS(GF_Budget_Detail!$E$5:$E$295,GF_Budget_Detail!$A$5:$A$295,$J$423,GF_Budget_Detail!$D$5:$D$295,"Recreation")</f>
        <v/>
      </c>
      <c r="C438" s="36">
        <f>SUMIFS(GF_Budget_Detail!$F$5:$F$295,GF_Budget_Detail!$A$5:$A$295,$J$423,GF_Budget_Detail!$D$5:$D$295,"Recreation")</f>
        <v/>
      </c>
      <c r="D438" s="36">
        <f>SUMIFS(GF_Budget_Detail!$G$5:$G$295,GF_Budget_Detail!$A$5:$A$295,$J$423,GF_Budget_Detail!$D$5:$D$295,"Recreation")</f>
        <v/>
      </c>
      <c r="E438" s="22">
        <f>C438-B438</f>
        <v/>
      </c>
      <c r="F438" s="22">
        <f>-(D438-C438)</f>
        <v/>
      </c>
      <c r="G438" s="43">
        <f>-(D438-B438)</f>
        <v/>
      </c>
      <c r="H438" s="33">
        <f>IFERROR(F438/ABS(C438),0)</f>
        <v/>
      </c>
      <c r="I438" s="44">
        <f>IF(AND(ABS(F438)&gt;=$L$2,ABS(H438)&gt;=$L$3),"Explain","")</f>
        <v/>
      </c>
      <c r="J438" s="2" t="n"/>
      <c r="K438" s="2" t="n"/>
      <c r="L438" s="2" t="n"/>
    </row>
    <row r="439">
      <c r="A439" s="21" t="inlineStr">
        <is>
          <t>Community development</t>
        </is>
      </c>
      <c r="B439" s="36">
        <f>SUMIFS(GF_Budget_Detail!$E$5:$E$295,GF_Budget_Detail!$A$5:$A$295,$J$423,GF_Budget_Detail!$D$5:$D$295,"Community development")</f>
        <v/>
      </c>
      <c r="C439" s="36">
        <f>SUMIFS(GF_Budget_Detail!$F$5:$F$295,GF_Budget_Detail!$A$5:$A$295,$J$423,GF_Budget_Detail!$D$5:$D$295,"Community development")</f>
        <v/>
      </c>
      <c r="D439" s="36">
        <f>SUMIFS(GF_Budget_Detail!$G$5:$G$295,GF_Budget_Detail!$A$5:$A$295,$J$423,GF_Budget_Detail!$D$5:$D$295,"Community development")</f>
        <v/>
      </c>
      <c r="E439" s="22">
        <f>C439-B439</f>
        <v/>
      </c>
      <c r="F439" s="22">
        <f>-(D439-C439)</f>
        <v/>
      </c>
      <c r="G439" s="43">
        <f>-(D439-B439)</f>
        <v/>
      </c>
      <c r="H439" s="33">
        <f>IFERROR(F439/ABS(C439),0)</f>
        <v/>
      </c>
      <c r="I439" s="44">
        <f>IF(AND(ABS(F439)&gt;=$L$2,ABS(H439)&gt;=$L$3),"Explain","")</f>
        <v/>
      </c>
      <c r="J439" s="2" t="n"/>
      <c r="K439" s="2" t="n"/>
      <c r="L439" s="2" t="n"/>
    </row>
    <row r="440">
      <c r="A440" s="21" t="inlineStr">
        <is>
          <t>Public safety - Police</t>
        </is>
      </c>
      <c r="B440" s="36">
        <f>SUMIFS(GF_Budget_Detail!$E$5:$E$295,GF_Budget_Detail!$A$5:$A$295,$J$423,GF_Budget_Detail!$D$5:$D$295,"Public safety - Police")</f>
        <v/>
      </c>
      <c r="C440" s="36">
        <f>SUMIFS(GF_Budget_Detail!$F$5:$F$295,GF_Budget_Detail!$A$5:$A$295,$J$423,GF_Budget_Detail!$D$5:$D$295,"Public safety - Police")</f>
        <v/>
      </c>
      <c r="D440" s="36">
        <f>SUMIFS(GF_Budget_Detail!$G$5:$G$295,GF_Budget_Detail!$A$5:$A$295,$J$423,GF_Budget_Detail!$D$5:$D$295,"Public safety - Police")</f>
        <v/>
      </c>
      <c r="E440" s="22">
        <f>C440-B440</f>
        <v/>
      </c>
      <c r="F440" s="22">
        <f>-(D440-C440)</f>
        <v/>
      </c>
      <c r="G440" s="43">
        <f>-(D440-B440)</f>
        <v/>
      </c>
      <c r="H440" s="33">
        <f>IFERROR(F440/ABS(C440),0)</f>
        <v/>
      </c>
      <c r="I440" s="44">
        <f>IF(AND(ABS(F440)&gt;=$L$2,ABS(H440)&gt;=$L$3),"Explain","")</f>
        <v/>
      </c>
      <c r="J440" s="2" t="n"/>
      <c r="K440" s="2" t="n"/>
      <c r="L440" s="2" t="n"/>
    </row>
    <row r="441">
      <c r="A441" s="21" t="inlineStr">
        <is>
          <t>Public safety - Fire</t>
        </is>
      </c>
      <c r="B441" s="36">
        <f>SUMIFS(GF_Budget_Detail!$E$5:$E$295,GF_Budget_Detail!$A$5:$A$295,$J$423,GF_Budget_Detail!$D$5:$D$295,"Public safety - Fire")</f>
        <v/>
      </c>
      <c r="C441" s="36">
        <f>SUMIFS(GF_Budget_Detail!$F$5:$F$295,GF_Budget_Detail!$A$5:$A$295,$J$423,GF_Budget_Detail!$D$5:$D$295,"Public safety - Fire")</f>
        <v/>
      </c>
      <c r="D441" s="36">
        <f>SUMIFS(GF_Budget_Detail!$G$5:$G$295,GF_Budget_Detail!$A$5:$A$295,$J$423,GF_Budget_Detail!$D$5:$D$295,"Public safety - Fire")</f>
        <v/>
      </c>
      <c r="E441" s="22">
        <f>C441-B441</f>
        <v/>
      </c>
      <c r="F441" s="22">
        <f>-(D441-C441)</f>
        <v/>
      </c>
      <c r="G441" s="43">
        <f>-(D441-B441)</f>
        <v/>
      </c>
      <c r="H441" s="33">
        <f>IFERROR(F441/ABS(C441),0)</f>
        <v/>
      </c>
      <c r="I441" s="44">
        <f>IF(AND(ABS(F441)&gt;=$L$2,ABS(H441)&gt;=$L$3),"Explain","")</f>
        <v/>
      </c>
      <c r="J441" s="2" t="n"/>
      <c r="K441" s="2" t="n"/>
      <c r="L441" s="2" t="n"/>
    </row>
    <row r="442">
      <c r="A442" s="21" t="inlineStr">
        <is>
          <t>Public safety (combined)</t>
        </is>
      </c>
      <c r="B442" s="36">
        <f>SUMIFS(GF_Budget_Detail!$E$5:$E$295,GF_Budget_Detail!$A$5:$A$295,$J$423,GF_Budget_Detail!$D$5:$D$295,"Public safety (combined)")</f>
        <v/>
      </c>
      <c r="C442" s="36">
        <f>SUMIFS(GF_Budget_Detail!$F$5:$F$295,GF_Budget_Detail!$A$5:$A$295,$J$423,GF_Budget_Detail!$D$5:$D$295,"Public safety (combined)")</f>
        <v/>
      </c>
      <c r="D442" s="36">
        <f>SUMIFS(GF_Budget_Detail!$G$5:$G$295,GF_Budget_Detail!$A$5:$A$295,$J$423,GF_Budget_Detail!$D$5:$D$295,"Public safety (combined)")</f>
        <v/>
      </c>
      <c r="E442" s="22">
        <f>C442-B442</f>
        <v/>
      </c>
      <c r="F442" s="22">
        <f>-(D442-C442)</f>
        <v/>
      </c>
      <c r="G442" s="43">
        <f>-(D442-B442)</f>
        <v/>
      </c>
      <c r="H442" s="33">
        <f>IFERROR(F442/ABS(C442),0)</f>
        <v/>
      </c>
      <c r="I442" s="44">
        <f>IF(AND(ABS(F442)&gt;=$L$2,ABS(H442)&gt;=$L$3),"Explain","")</f>
        <v/>
      </c>
      <c r="J442" s="2" t="n"/>
      <c r="K442" s="2" t="n"/>
      <c r="L442" s="2" t="n"/>
    </row>
    <row r="443">
      <c r="A443" s="21" t="inlineStr">
        <is>
          <t>Payment of sales tax to City of Richmond</t>
        </is>
      </c>
      <c r="B443" s="36">
        <f>SUMIFS(GF_Budget_Detail!$E$5:$E$295,GF_Budget_Detail!$A$5:$A$295,$J$423,GF_Budget_Detail!$D$5:$D$295,"Payment of sales tax to City of Richmond")</f>
        <v/>
      </c>
      <c r="C443" s="36">
        <f>SUMIFS(GF_Budget_Detail!$F$5:$F$295,GF_Budget_Detail!$A$5:$A$295,$J$423,GF_Budget_Detail!$D$5:$D$295,"Payment of sales tax to City of Richmond")</f>
        <v/>
      </c>
      <c r="D443" s="36">
        <f>SUMIFS(GF_Budget_Detail!$G$5:$G$295,GF_Budget_Detail!$A$5:$A$295,$J$423,GF_Budget_Detail!$D$5:$D$295,"Payment of sales tax to City of Richmond")</f>
        <v/>
      </c>
      <c r="E443" s="22">
        <f>C443-B443</f>
        <v/>
      </c>
      <c r="F443" s="22">
        <f>-(D443-C443)</f>
        <v/>
      </c>
      <c r="G443" s="43">
        <f>-(D443-B443)</f>
        <v/>
      </c>
      <c r="H443" s="33">
        <f>IFERROR(F443/ABS(C443),0)</f>
        <v/>
      </c>
      <c r="I443" s="44">
        <f>IF(AND(ABS(F443)&gt;=$L$2,ABS(H443)&gt;=$L$3),"Explain","")</f>
        <v/>
      </c>
      <c r="J443" s="2" t="n"/>
      <c r="K443" s="2" t="n"/>
      <c r="L443" s="2" t="n"/>
    </row>
    <row r="444">
      <c r="A444" s="21" t="inlineStr">
        <is>
          <t>Capital outlay</t>
        </is>
      </c>
      <c r="B444" s="36">
        <f>SUMIFS(GF_Budget_Detail!$E$5:$E$295,GF_Budget_Detail!$A$5:$A$295,$J$423,GF_Budget_Detail!$D$5:$D$295,"Capital outlay")</f>
        <v/>
      </c>
      <c r="C444" s="36">
        <f>SUMIFS(GF_Budget_Detail!$F$5:$F$295,GF_Budget_Detail!$A$5:$A$295,$J$423,GF_Budget_Detail!$D$5:$D$295,"Capital outlay")</f>
        <v/>
      </c>
      <c r="D444" s="36">
        <f>SUMIFS(GF_Budget_Detail!$G$5:$G$295,GF_Budget_Detail!$A$5:$A$295,$J$423,GF_Budget_Detail!$D$5:$D$295,"Capital outlay")</f>
        <v/>
      </c>
      <c r="E444" s="22">
        <f>C444-B444</f>
        <v/>
      </c>
      <c r="F444" s="22">
        <f>-(D444-C444)</f>
        <v/>
      </c>
      <c r="G444" s="43">
        <f>-(D444-B444)</f>
        <v/>
      </c>
      <c r="H444" s="33">
        <f>IFERROR(F444/ABS(C444),0)</f>
        <v/>
      </c>
      <c r="I444" s="44">
        <f>IF(AND(ABS(F444)&gt;=$L$2,ABS(H444)&gt;=$L$3),"Explain","")</f>
        <v/>
      </c>
      <c r="J444" s="2" t="n"/>
      <c r="K444" s="2" t="n"/>
      <c r="L444" s="2" t="n"/>
    </row>
    <row r="445">
      <c r="A445" s="21" t="inlineStr">
        <is>
          <t>Debt service - principal</t>
        </is>
      </c>
      <c r="B445" s="36">
        <f>SUMIFS(GF_Budget_Detail!$E$5:$E$295,GF_Budget_Detail!$A$5:$A$295,$J$423,GF_Budget_Detail!$D$5:$D$295,"Debt service - principal")</f>
        <v/>
      </c>
      <c r="C445" s="36">
        <f>SUMIFS(GF_Budget_Detail!$F$5:$F$295,GF_Budget_Detail!$A$5:$A$295,$J$423,GF_Budget_Detail!$D$5:$D$295,"Debt service - principal")</f>
        <v/>
      </c>
      <c r="D445" s="36">
        <f>SUMIFS(GF_Budget_Detail!$G$5:$G$295,GF_Budget_Detail!$A$5:$A$295,$J$423,GF_Budget_Detail!$D$5:$D$295,"Debt service - principal")</f>
        <v/>
      </c>
      <c r="E445" s="22">
        <f>C445-B445</f>
        <v/>
      </c>
      <c r="F445" s="22">
        <f>-(D445-C445)</f>
        <v/>
      </c>
      <c r="G445" s="43">
        <f>-(D445-B445)</f>
        <v/>
      </c>
      <c r="H445" s="33">
        <f>IFERROR(F445/ABS(C445),0)</f>
        <v/>
      </c>
      <c r="I445" s="44">
        <f>IF(AND(ABS(F445)&gt;=$L$2,ABS(H445)&gt;=$L$3),"Explain","")</f>
        <v/>
      </c>
      <c r="J445" s="2" t="n"/>
      <c r="K445" s="2" t="n"/>
      <c r="L445" s="2" t="n"/>
    </row>
    <row r="446">
      <c r="A446" s="21" t="inlineStr">
        <is>
          <t>Debt service - interest</t>
        </is>
      </c>
      <c r="B446" s="36">
        <f>SUMIFS(GF_Budget_Detail!$E$5:$E$295,GF_Budget_Detail!$A$5:$A$295,$J$423,GF_Budget_Detail!$D$5:$D$295,"Debt service - interest")</f>
        <v/>
      </c>
      <c r="C446" s="36">
        <f>SUMIFS(GF_Budget_Detail!$F$5:$F$295,GF_Budget_Detail!$A$5:$A$295,$J$423,GF_Budget_Detail!$D$5:$D$295,"Debt service - interest")</f>
        <v/>
      </c>
      <c r="D446" s="36">
        <f>SUMIFS(GF_Budget_Detail!$G$5:$G$295,GF_Budget_Detail!$A$5:$A$295,$J$423,GF_Budget_Detail!$D$5:$D$295,"Debt service - interest")</f>
        <v/>
      </c>
      <c r="E446" s="22">
        <f>C446-B446</f>
        <v/>
      </c>
      <c r="F446" s="22">
        <f>-(D446-C446)</f>
        <v/>
      </c>
      <c r="G446" s="43">
        <f>-(D446-B446)</f>
        <v/>
      </c>
      <c r="H446" s="33">
        <f>IFERROR(F446/ABS(C446),0)</f>
        <v/>
      </c>
      <c r="I446" s="44">
        <f>IF(AND(ABS(F446)&gt;=$L$2,ABS(H446)&gt;=$L$3),"Explain","")</f>
        <v/>
      </c>
      <c r="J446" s="2" t="n"/>
      <c r="K446" s="2" t="n"/>
      <c r="L446" s="2" t="n"/>
    </row>
    <row r="447">
      <c r="A447" s="21" t="inlineStr">
        <is>
          <t>Non-departmental (budget-report basis)</t>
        </is>
      </c>
      <c r="B447" s="36">
        <f>SUMIFS(GF_Budget_Detail!$E$5:$E$295,GF_Budget_Detail!$A$5:$A$295,$J$423,GF_Budget_Detail!$D$5:$D$295,"Non-departmental (budget-report basis)")</f>
        <v/>
      </c>
      <c r="C447" s="36">
        <f>SUMIFS(GF_Budget_Detail!$F$5:$F$295,GF_Budget_Detail!$A$5:$A$295,$J$423,GF_Budget_Detail!$D$5:$D$295,"Non-departmental (budget-report basis)")</f>
        <v/>
      </c>
      <c r="D447" s="36">
        <f>SUMIFS(GF_Budget_Detail!$G$5:$G$295,GF_Budget_Detail!$A$5:$A$295,$J$423,GF_Budget_Detail!$D$5:$D$295,"Non-departmental (budget-report basis)")</f>
        <v/>
      </c>
      <c r="E447" s="22">
        <f>C447-B447</f>
        <v/>
      </c>
      <c r="F447" s="22">
        <f>-(D447-C447)</f>
        <v/>
      </c>
      <c r="G447" s="43">
        <f>-(D447-B447)</f>
        <v/>
      </c>
      <c r="H447" s="33">
        <f>IFERROR(F447/ABS(C447),0)</f>
        <v/>
      </c>
      <c r="I447" s="44">
        <f>IF(AND(ABS(F447)&gt;=$L$2,ABS(H447)&gt;=$L$3),"Explain","")</f>
        <v/>
      </c>
      <c r="J447" s="2" t="n"/>
      <c r="K447" s="2" t="n"/>
      <c r="L447" s="2" t="n"/>
    </row>
    <row r="448">
      <c r="A448" s="21" t="inlineStr">
        <is>
          <t>Original budget not itemized by department</t>
        </is>
      </c>
      <c r="B448" s="36">
        <f>SUMIFS(GF_Budget_Detail!$E$5:$E$295,GF_Budget_Detail!$A$5:$A$295,$J$423,GF_Budget_Detail!$D$5:$D$295,"Original budget not itemized by department")</f>
        <v/>
      </c>
      <c r="C448" s="36">
        <f>SUMIFS(GF_Budget_Detail!$F$5:$F$295,GF_Budget_Detail!$A$5:$A$295,$J$423,GF_Budget_Detail!$D$5:$D$295,"Original budget not itemized by department")</f>
        <v/>
      </c>
      <c r="D448" s="36">
        <f>SUMIFS(GF_Budget_Detail!$G$5:$G$295,GF_Budget_Detail!$A$5:$A$295,$J$423,GF_Budget_Detail!$D$5:$D$295,"Original budget not itemized by department")</f>
        <v/>
      </c>
      <c r="E448" s="22">
        <f>C448-B448</f>
        <v/>
      </c>
      <c r="F448" s="22">
        <f>-(D448-C448)</f>
        <v/>
      </c>
      <c r="G448" s="43">
        <f>-(D448-B448)</f>
        <v/>
      </c>
      <c r="H448" s="33">
        <f>IFERROR(F448/ABS(C448),0)</f>
        <v/>
      </c>
      <c r="I448" s="44">
        <f>IF(AND(ABS(F448)&gt;=$L$2,ABS(H448)&gt;=$L$3),"Explain","")</f>
        <v/>
      </c>
      <c r="J448" s="2" t="n"/>
      <c r="K448" s="2" t="n"/>
      <c r="L448" s="2" t="n"/>
    </row>
    <row r="449">
      <c r="A449" s="12" t="inlineStr">
        <is>
          <t>Total expenditures</t>
        </is>
      </c>
      <c r="B449" s="24">
        <f>SUM(B436:B448)</f>
        <v/>
      </c>
      <c r="C449" s="24">
        <f>SUM(C436:C448)</f>
        <v/>
      </c>
      <c r="D449" s="24">
        <f>SUM(D436:D448)</f>
        <v/>
      </c>
      <c r="E449" s="24">
        <f>C449-B449</f>
        <v/>
      </c>
      <c r="F449" s="24">
        <f>-(D449-C449)</f>
        <v/>
      </c>
      <c r="G449" s="24">
        <f>-(D449-B449)</f>
        <v/>
      </c>
      <c r="H449" s="45">
        <f>IFERROR(F449/ABS(C449),0)</f>
        <v/>
      </c>
      <c r="I449" s="46">
        <f>IF(AND(ABS(F449)&gt;=$L$2,ABS(H449)&gt;=$L$3),"Explain","")</f>
        <v/>
      </c>
      <c r="J449" s="2" t="n"/>
      <c r="K449" s="2" t="n"/>
      <c r="L449" s="2" t="n"/>
    </row>
    <row r="450">
      <c r="A450" s="2" t="n"/>
      <c r="B450" s="2" t="n"/>
      <c r="C450" s="2" t="n"/>
      <c r="D450" s="2" t="n"/>
      <c r="E450" s="2" t="n"/>
      <c r="F450" s="2" t="n"/>
      <c r="G450" s="2" t="n"/>
      <c r="H450" s="2" t="n"/>
      <c r="I450" s="2" t="n"/>
      <c r="J450" s="2" t="n"/>
      <c r="K450" s="2" t="n"/>
      <c r="L450" s="2" t="n"/>
    </row>
    <row r="451">
      <c r="A451" s="21" t="inlineStr">
        <is>
          <t>Transfers in</t>
        </is>
      </c>
      <c r="B451" s="36">
        <f>SUMIFS(GF_Budget_Detail!$E$5:$E$295,GF_Budget_Detail!$A$5:$A$295,$J$423,GF_Budget_Detail!$D$5:$D$295,"Transfers in")</f>
        <v/>
      </c>
      <c r="C451" s="36">
        <f>SUMIFS(GF_Budget_Detail!$F$5:$F$295,GF_Budget_Detail!$A$5:$A$295,$J$423,GF_Budget_Detail!$D$5:$D$295,"Transfers in")</f>
        <v/>
      </c>
      <c r="D451" s="36">
        <f>SUMIFS(GF_Budget_Detail!$G$5:$G$295,GF_Budget_Detail!$A$5:$A$295,$J$423,GF_Budget_Detail!$D$5:$D$295,"Transfers in")</f>
        <v/>
      </c>
      <c r="E451" s="22">
        <f>C451-B451</f>
        <v/>
      </c>
      <c r="F451" s="22">
        <f>(D451-C451)</f>
        <v/>
      </c>
      <c r="G451" s="43">
        <f>(D451-B451)</f>
        <v/>
      </c>
      <c r="H451" s="33">
        <f>IFERROR(F451/ABS(C451),0)</f>
        <v/>
      </c>
      <c r="I451" s="44">
        <f>IF(AND(ABS(F451)&gt;=$L$2,ABS(H451)&gt;=$L$3),"Explain","")</f>
        <v/>
      </c>
      <c r="J451" s="2" t="n"/>
      <c r="K451" s="2" t="n"/>
      <c r="L451" s="2" t="n"/>
    </row>
    <row r="452">
      <c r="A452" s="21" t="inlineStr">
        <is>
          <t>Transfers out</t>
        </is>
      </c>
      <c r="B452" s="36">
        <f>SUMIFS(GF_Budget_Detail!$E$5:$E$295,GF_Budget_Detail!$A$5:$A$295,$J$423,GF_Budget_Detail!$D$5:$D$295,"Transfers out")</f>
        <v/>
      </c>
      <c r="C452" s="36">
        <f>SUMIFS(GF_Budget_Detail!$F$5:$F$295,GF_Budget_Detail!$A$5:$A$295,$J$423,GF_Budget_Detail!$D$5:$D$295,"Transfers out")</f>
        <v/>
      </c>
      <c r="D452" s="36">
        <f>SUMIFS(GF_Budget_Detail!$G$5:$G$295,GF_Budget_Detail!$A$5:$A$295,$J$423,GF_Budget_Detail!$D$5:$D$295,"Transfers out")</f>
        <v/>
      </c>
      <c r="E452" s="22">
        <f>C452-B452</f>
        <v/>
      </c>
      <c r="F452" s="22">
        <f>(D452-C452)</f>
        <v/>
      </c>
      <c r="G452" s="43">
        <f>(D452-B452)</f>
        <v/>
      </c>
      <c r="H452" s="33">
        <f>IFERROR(F452/ABS(C452),0)</f>
        <v/>
      </c>
      <c r="I452" s="44">
        <f>IF(AND(ABS(F452)&gt;=$L$2,ABS(H452)&gt;=$L$3),"Explain","")</f>
        <v/>
      </c>
      <c r="J452" s="2" t="n"/>
      <c r="K452" s="2" t="n"/>
      <c r="L452" s="2" t="n"/>
    </row>
    <row r="453">
      <c r="A453" s="21" t="inlineStr">
        <is>
          <t>Debt / lease financing proceeds</t>
        </is>
      </c>
      <c r="B453" s="36">
        <f>SUMIFS(GF_Budget_Detail!$E$5:$E$295,GF_Budget_Detail!$A$5:$A$295,$J$423,GF_Budget_Detail!$D$5:$D$295,"Debt / lease financing proceeds")</f>
        <v/>
      </c>
      <c r="C453" s="36">
        <f>SUMIFS(GF_Budget_Detail!$F$5:$F$295,GF_Budget_Detail!$A$5:$A$295,$J$423,GF_Budget_Detail!$D$5:$D$295,"Debt / lease financing proceeds")</f>
        <v/>
      </c>
      <c r="D453" s="36">
        <f>SUMIFS(GF_Budget_Detail!$G$5:$G$295,GF_Budget_Detail!$A$5:$A$295,$J$423,GF_Budget_Detail!$D$5:$D$295,"Debt / lease financing proceeds")</f>
        <v/>
      </c>
      <c r="E453" s="22">
        <f>C453-B453</f>
        <v/>
      </c>
      <c r="F453" s="22">
        <f>(D453-C453)</f>
        <v/>
      </c>
      <c r="G453" s="43">
        <f>(D453-B453)</f>
        <v/>
      </c>
      <c r="H453" s="33">
        <f>IFERROR(F453/ABS(C453),0)</f>
        <v/>
      </c>
      <c r="I453" s="44">
        <f>IF(AND(ABS(F453)&gt;=$L$2,ABS(H453)&gt;=$L$3),"Explain","")</f>
        <v/>
      </c>
      <c r="J453" s="2" t="n"/>
      <c r="K453" s="2" t="n"/>
      <c r="L453" s="2" t="n"/>
    </row>
    <row r="454">
      <c r="A454" s="21" t="inlineStr">
        <is>
          <t>Proceeds from sale of capital assets</t>
        </is>
      </c>
      <c r="B454" s="36">
        <f>SUMIFS(GF_Budget_Detail!$E$5:$E$295,GF_Budget_Detail!$A$5:$A$295,$J$423,GF_Budget_Detail!$D$5:$D$295,"Proceeds from sale of capital assets")</f>
        <v/>
      </c>
      <c r="C454" s="36">
        <f>SUMIFS(GF_Budget_Detail!$F$5:$F$295,GF_Budget_Detail!$A$5:$A$295,$J$423,GF_Budget_Detail!$D$5:$D$295,"Proceeds from sale of capital assets")</f>
        <v/>
      </c>
      <c r="D454" s="36">
        <f>SUMIFS(GF_Budget_Detail!$G$5:$G$295,GF_Budget_Detail!$A$5:$A$295,$J$423,GF_Budget_Detail!$D$5:$D$295,"Proceeds from sale of capital assets")</f>
        <v/>
      </c>
      <c r="E454" s="22">
        <f>C454-B454</f>
        <v/>
      </c>
      <c r="F454" s="22">
        <f>(D454-C454)</f>
        <v/>
      </c>
      <c r="G454" s="43">
        <f>(D454-B454)</f>
        <v/>
      </c>
      <c r="H454" s="33">
        <f>IFERROR(F454/ABS(C454),0)</f>
        <v/>
      </c>
      <c r="I454" s="44">
        <f>IF(AND(ABS(F454)&gt;=$L$2,ABS(H454)&gt;=$L$3),"Explain","")</f>
        <v/>
      </c>
      <c r="J454" s="2" t="n"/>
      <c r="K454" s="2" t="n"/>
      <c r="L454" s="2" t="n"/>
    </row>
    <row r="455">
      <c r="A455" s="21" t="inlineStr">
        <is>
          <t>Special items</t>
        </is>
      </c>
      <c r="B455" s="36">
        <f>SUMIFS(GF_Budget_Detail!$E$5:$E$295,GF_Budget_Detail!$A$5:$A$295,$J$423,GF_Budget_Detail!$D$5:$D$295,"Special items")</f>
        <v/>
      </c>
      <c r="C455" s="36">
        <f>SUMIFS(GF_Budget_Detail!$F$5:$F$295,GF_Budget_Detail!$A$5:$A$295,$J$423,GF_Budget_Detail!$D$5:$D$295,"Special items")</f>
        <v/>
      </c>
      <c r="D455" s="36">
        <f>SUMIFS(GF_Budget_Detail!$G$5:$G$295,GF_Budget_Detail!$A$5:$A$295,$J$423,GF_Budget_Detail!$D$5:$D$295,"Special items")</f>
        <v/>
      </c>
      <c r="E455" s="22">
        <f>C455-B455</f>
        <v/>
      </c>
      <c r="F455" s="22">
        <f>(D455-C455)</f>
        <v/>
      </c>
      <c r="G455" s="43">
        <f>(D455-B455)</f>
        <v/>
      </c>
      <c r="H455" s="33">
        <f>IFERROR(F455/ABS(C455),0)</f>
        <v/>
      </c>
      <c r="I455" s="44">
        <f>IF(AND(ABS(F455)&gt;=$L$2,ABS(H455)&gt;=$L$3),"Explain","")</f>
        <v/>
      </c>
      <c r="J455" s="2" t="n"/>
      <c r="K455" s="2" t="n"/>
      <c r="L455" s="2" t="n"/>
    </row>
    <row r="456">
      <c r="A456" s="12" t="inlineStr">
        <is>
          <t>Total other financing sources (uses) and special items</t>
        </is>
      </c>
      <c r="B456" s="24">
        <f>SUM(B451:B455)</f>
        <v/>
      </c>
      <c r="C456" s="24">
        <f>SUM(C451:C455)</f>
        <v/>
      </c>
      <c r="D456" s="24">
        <f>SUM(D451:D455)</f>
        <v/>
      </c>
      <c r="E456" s="24">
        <f>C456-B456</f>
        <v/>
      </c>
      <c r="F456" s="24">
        <f>(D456-C456)</f>
        <v/>
      </c>
      <c r="G456" s="24">
        <f>(D456-B456)</f>
        <v/>
      </c>
      <c r="H456" s="45">
        <f>IFERROR(F456/ABS(C456),0)</f>
        <v/>
      </c>
      <c r="I456" s="46">
        <f>IF(AND(ABS(F456)&gt;=$L$2,ABS(H456)&gt;=$L$3),"Explain","")</f>
        <v/>
      </c>
      <c r="J456" s="2" t="n"/>
      <c r="K456" s="2" t="n"/>
      <c r="L456" s="2" t="n"/>
    </row>
    <row r="457">
      <c r="A457" s="2" t="n"/>
      <c r="B457" s="2" t="n"/>
      <c r="C457" s="2" t="n"/>
      <c r="D457" s="2" t="n"/>
      <c r="E457" s="2" t="n"/>
      <c r="F457" s="2" t="n"/>
      <c r="G457" s="2" t="n"/>
      <c r="H457" s="2" t="n"/>
      <c r="I457" s="2" t="n"/>
      <c r="J457" s="2" t="n"/>
      <c r="K457" s="2" t="n"/>
      <c r="L457" s="2" t="n"/>
    </row>
    <row r="458">
      <c r="A458" s="12" t="inlineStr">
        <is>
          <t>Net change in fund balance</t>
        </is>
      </c>
      <c r="B458" s="31">
        <f>B434-B449+B456</f>
        <v/>
      </c>
      <c r="C458" s="31">
        <f>C434-C449+C456</f>
        <v/>
      </c>
      <c r="D458" s="31">
        <f>D434-D449+D456</f>
        <v/>
      </c>
      <c r="E458" s="31">
        <f>C458-B458</f>
        <v/>
      </c>
      <c r="F458" s="31">
        <f>D458-C458</f>
        <v/>
      </c>
      <c r="G458" s="31">
        <f>D458-B458</f>
        <v/>
      </c>
      <c r="H458" s="2" t="n"/>
      <c r="I458" s="2" t="n"/>
      <c r="J458" s="2" t="n"/>
      <c r="K458" s="2" t="n"/>
      <c r="L458" s="2" t="n"/>
    </row>
    <row r="459">
      <c r="A459" s="2" t="n"/>
      <c r="B459" s="2" t="n"/>
      <c r="C459" s="2" t="n"/>
      <c r="D459" s="2" t="n"/>
      <c r="E459" s="2" t="n"/>
      <c r="F459" s="2" t="n"/>
      <c r="G459" s="2" t="n"/>
      <c r="H459" s="2" t="n"/>
      <c r="I459" s="2" t="n"/>
      <c r="J459" s="2" t="n"/>
      <c r="K459" s="2" t="n"/>
      <c r="L459" s="2" t="n"/>
    </row>
    <row r="460">
      <c r="A460" s="2" t="n"/>
      <c r="B460" s="2" t="n"/>
      <c r="C460" s="2" t="n"/>
      <c r="D460" s="2" t="n"/>
      <c r="E460" s="2" t="n"/>
      <c r="F460" s="2" t="n"/>
      <c r="G460" s="2" t="n"/>
      <c r="H460" s="2" t="n"/>
      <c r="I460" s="2" t="n"/>
      <c r="J460" s="2" t="n"/>
      <c r="K460" s="2" t="n"/>
      <c r="L460" s="2" t="n"/>
    </row>
    <row r="461">
      <c r="A461" s="47" t="inlineStr">
        <is>
          <t>FY2025-26 (year ended June 30, 2026)  -  Budgetary comparison schedule, General Fund  -  UNAUDITED (Q4 budget update, budget-report basis)</t>
        </is>
      </c>
      <c r="B461" s="48" t="n"/>
      <c r="C461" s="48" t="n"/>
      <c r="D461" s="48" t="n"/>
      <c r="E461" s="48" t="n"/>
      <c r="F461" s="48" t="n"/>
      <c r="G461" s="48" t="n"/>
      <c r="H461" s="48" t="n"/>
      <c r="I461" s="48" t="n"/>
      <c r="J461" s="49" t="n">
        <v>2026</v>
      </c>
      <c r="K461" s="2" t="n"/>
      <c r="L461" s="2" t="n"/>
    </row>
    <row r="462" ht="54" customHeight="1">
      <c r="A462" s="41" t="inlineStr">
        <is>
          <t>Category</t>
        </is>
      </c>
      <c r="B462" s="41" t="inlineStr">
        <is>
          <t>Budgeted amounts - Original</t>
        </is>
      </c>
      <c r="C462" s="41" t="inlineStr">
        <is>
          <t>Budgeted amounts - Final</t>
        </is>
      </c>
      <c r="D462" s="41" t="inlineStr">
        <is>
          <t>Actual amounts (budgetary basis)</t>
        </is>
      </c>
      <c r="E462" s="41" t="inlineStr">
        <is>
          <t>Variance: Original to Final budget, increase (decrease)</t>
        </is>
      </c>
      <c r="F462" s="41" t="inlineStr">
        <is>
          <t>Variance with Final budget, positive (negative)</t>
        </is>
      </c>
      <c r="G462" s="42" t="inlineStr">
        <is>
          <t>Variance with Original budget, positive (negative) [supplementary]</t>
        </is>
      </c>
      <c r="H462" s="41" t="inlineStr">
        <is>
          <t>Variance with Final budget %</t>
        </is>
      </c>
      <c r="I462" s="41" t="inlineStr">
        <is>
          <t>Significant variance? (GASB 103 note candidate)</t>
        </is>
      </c>
      <c r="J462" s="2" t="n"/>
      <c r="K462" s="2" t="n"/>
      <c r="L462" s="2" t="n"/>
    </row>
    <row r="463">
      <c r="A463" s="50" t="inlineStr">
        <is>
          <t>Property taxes</t>
        </is>
      </c>
      <c r="B463" s="51">
        <f>SUMIFS(GF_Budget_Detail!$E$5:$E$295,GF_Budget_Detail!$A$5:$A$295,$J$461,GF_Budget_Detail!$D$5:$D$295,"Property taxes")</f>
        <v/>
      </c>
      <c r="C463" s="51">
        <f>SUMIFS(GF_Budget_Detail!$F$5:$F$295,GF_Budget_Detail!$A$5:$A$295,$J$461,GF_Budget_Detail!$D$5:$D$295,"Property taxes")</f>
        <v/>
      </c>
      <c r="D463" s="51">
        <f>SUMIFS(GF_Budget_Detail!$G$5:$G$295,GF_Budget_Detail!$A$5:$A$295,$J$461,GF_Budget_Detail!$D$5:$D$295,"Property taxes")</f>
        <v/>
      </c>
      <c r="E463" s="23">
        <f>C463-B463</f>
        <v/>
      </c>
      <c r="F463" s="23">
        <f>(D463-C463)</f>
        <v/>
      </c>
      <c r="G463" s="52">
        <f>(D463-B463)</f>
        <v/>
      </c>
      <c r="H463" s="34">
        <f>IFERROR(F463/ABS(C463),0)</f>
        <v/>
      </c>
      <c r="I463" s="53">
        <f>IF(AND(ABS(F463)&gt;=$L$2,ABS(H463)&gt;=$L$3),"Explain","")</f>
        <v/>
      </c>
      <c r="J463" s="2" t="n"/>
      <c r="K463" s="2" t="n"/>
      <c r="L463" s="2" t="n"/>
    </row>
    <row r="464">
      <c r="A464" s="50" t="inlineStr">
        <is>
          <t>Taxes other than property</t>
        </is>
      </c>
      <c r="B464" s="51">
        <f>SUMIFS(GF_Budget_Detail!$E$5:$E$295,GF_Budget_Detail!$A$5:$A$295,$J$461,GF_Budget_Detail!$D$5:$D$295,"Taxes other than property")</f>
        <v/>
      </c>
      <c r="C464" s="51">
        <f>SUMIFS(GF_Budget_Detail!$F$5:$F$295,GF_Budget_Detail!$A$5:$A$295,$J$461,GF_Budget_Detail!$D$5:$D$295,"Taxes other than property")</f>
        <v/>
      </c>
      <c r="D464" s="51">
        <f>SUMIFS(GF_Budget_Detail!$G$5:$G$295,GF_Budget_Detail!$A$5:$A$295,$J$461,GF_Budget_Detail!$D$5:$D$295,"Taxes other than property")</f>
        <v/>
      </c>
      <c r="E464" s="23">
        <f>C464-B464</f>
        <v/>
      </c>
      <c r="F464" s="23">
        <f>(D464-C464)</f>
        <v/>
      </c>
      <c r="G464" s="52">
        <f>(D464-B464)</f>
        <v/>
      </c>
      <c r="H464" s="34">
        <f>IFERROR(F464/ABS(C464),0)</f>
        <v/>
      </c>
      <c r="I464" s="53">
        <f>IF(AND(ABS(F464)&gt;=$L$2,ABS(H464)&gt;=$L$3),"Explain","")</f>
        <v/>
      </c>
      <c r="J464" s="2" t="n"/>
      <c r="K464" s="2" t="n"/>
      <c r="L464" s="2" t="n"/>
    </row>
    <row r="465">
      <c r="A465" s="50" t="inlineStr">
        <is>
          <t>Taxes and assessments (combined)</t>
        </is>
      </c>
      <c r="B465" s="51">
        <f>SUMIFS(GF_Budget_Detail!$E$5:$E$295,GF_Budget_Detail!$A$5:$A$295,$J$461,GF_Budget_Detail!$D$5:$D$295,"Taxes and assessments (combined)")</f>
        <v/>
      </c>
      <c r="C465" s="51">
        <f>SUMIFS(GF_Budget_Detail!$F$5:$F$295,GF_Budget_Detail!$A$5:$A$295,$J$461,GF_Budget_Detail!$D$5:$D$295,"Taxes and assessments (combined)")</f>
        <v/>
      </c>
      <c r="D465" s="51">
        <f>SUMIFS(GF_Budget_Detail!$G$5:$G$295,GF_Budget_Detail!$A$5:$A$295,$J$461,GF_Budget_Detail!$D$5:$D$295,"Taxes and assessments (combined)")</f>
        <v/>
      </c>
      <c r="E465" s="23">
        <f>C465-B465</f>
        <v/>
      </c>
      <c r="F465" s="23">
        <f>(D465-C465)</f>
        <v/>
      </c>
      <c r="G465" s="52">
        <f>(D465-B465)</f>
        <v/>
      </c>
      <c r="H465" s="34">
        <f>IFERROR(F465/ABS(C465),0)</f>
        <v/>
      </c>
      <c r="I465" s="53">
        <f>IF(AND(ABS(F465)&gt;=$L$2,ABS(H465)&gt;=$L$3),"Explain","")</f>
        <v/>
      </c>
      <c r="J465" s="2" t="n"/>
      <c r="K465" s="2" t="n"/>
      <c r="L465" s="2" t="n"/>
    </row>
    <row r="466">
      <c r="A466" s="50" t="inlineStr">
        <is>
          <t>Licenses and permits</t>
        </is>
      </c>
      <c r="B466" s="51">
        <f>SUMIFS(GF_Budget_Detail!$E$5:$E$295,GF_Budget_Detail!$A$5:$A$295,$J$461,GF_Budget_Detail!$D$5:$D$295,"Licenses and permits")</f>
        <v/>
      </c>
      <c r="C466" s="51">
        <f>SUMIFS(GF_Budget_Detail!$F$5:$F$295,GF_Budget_Detail!$A$5:$A$295,$J$461,GF_Budget_Detail!$D$5:$D$295,"Licenses and permits")</f>
        <v/>
      </c>
      <c r="D466" s="51">
        <f>SUMIFS(GF_Budget_Detail!$G$5:$G$295,GF_Budget_Detail!$A$5:$A$295,$J$461,GF_Budget_Detail!$D$5:$D$295,"Licenses and permits")</f>
        <v/>
      </c>
      <c r="E466" s="23">
        <f>C466-B466</f>
        <v/>
      </c>
      <c r="F466" s="23">
        <f>(D466-C466)</f>
        <v/>
      </c>
      <c r="G466" s="52">
        <f>(D466-B466)</f>
        <v/>
      </c>
      <c r="H466" s="34">
        <f>IFERROR(F466/ABS(C466),0)</f>
        <v/>
      </c>
      <c r="I466" s="53">
        <f>IF(AND(ABS(F466)&gt;=$L$2,ABS(H466)&gt;=$L$3),"Explain","")</f>
        <v/>
      </c>
      <c r="J466" s="2" t="n"/>
      <c r="K466" s="2" t="n"/>
      <c r="L466" s="2" t="n"/>
    </row>
    <row r="467">
      <c r="A467" s="50" t="inlineStr">
        <is>
          <t>Fines and forfeitures</t>
        </is>
      </c>
      <c r="B467" s="51">
        <f>SUMIFS(GF_Budget_Detail!$E$5:$E$295,GF_Budget_Detail!$A$5:$A$295,$J$461,GF_Budget_Detail!$D$5:$D$295,"Fines and forfeitures")</f>
        <v/>
      </c>
      <c r="C467" s="51">
        <f>SUMIFS(GF_Budget_Detail!$F$5:$F$295,GF_Budget_Detail!$A$5:$A$295,$J$461,GF_Budget_Detail!$D$5:$D$295,"Fines and forfeitures")</f>
        <v/>
      </c>
      <c r="D467" s="51">
        <f>SUMIFS(GF_Budget_Detail!$G$5:$G$295,GF_Budget_Detail!$A$5:$A$295,$J$461,GF_Budget_Detail!$D$5:$D$295,"Fines and forfeitures")</f>
        <v/>
      </c>
      <c r="E467" s="23">
        <f>C467-B467</f>
        <v/>
      </c>
      <c r="F467" s="23">
        <f>(D467-C467)</f>
        <v/>
      </c>
      <c r="G467" s="52">
        <f>(D467-B467)</f>
        <v/>
      </c>
      <c r="H467" s="34">
        <f>IFERROR(F467/ABS(C467),0)</f>
        <v/>
      </c>
      <c r="I467" s="53">
        <f>IF(AND(ABS(F467)&gt;=$L$2,ABS(H467)&gt;=$L$3),"Explain","")</f>
        <v/>
      </c>
      <c r="J467" s="2" t="n"/>
      <c r="K467" s="2" t="n"/>
      <c r="L467" s="2" t="n"/>
    </row>
    <row r="468">
      <c r="A468" s="50" t="inlineStr">
        <is>
          <t>Use of money and property</t>
        </is>
      </c>
      <c r="B468" s="51">
        <f>SUMIFS(GF_Budget_Detail!$E$5:$E$295,GF_Budget_Detail!$A$5:$A$295,$J$461,GF_Budget_Detail!$D$5:$D$295,"Use of money and property")</f>
        <v/>
      </c>
      <c r="C468" s="51">
        <f>SUMIFS(GF_Budget_Detail!$F$5:$F$295,GF_Budget_Detail!$A$5:$A$295,$J$461,GF_Budget_Detail!$D$5:$D$295,"Use of money and property")</f>
        <v/>
      </c>
      <c r="D468" s="51">
        <f>SUMIFS(GF_Budget_Detail!$G$5:$G$295,GF_Budget_Detail!$A$5:$A$295,$J$461,GF_Budget_Detail!$D$5:$D$295,"Use of money and property")</f>
        <v/>
      </c>
      <c r="E468" s="23">
        <f>C468-B468</f>
        <v/>
      </c>
      <c r="F468" s="23">
        <f>(D468-C468)</f>
        <v/>
      </c>
      <c r="G468" s="52">
        <f>(D468-B468)</f>
        <v/>
      </c>
      <c r="H468" s="34">
        <f>IFERROR(F468/ABS(C468),0)</f>
        <v/>
      </c>
      <c r="I468" s="53">
        <f>IF(AND(ABS(F468)&gt;=$L$2,ABS(H468)&gt;=$L$3),"Explain","")</f>
        <v/>
      </c>
      <c r="J468" s="2" t="n"/>
      <c r="K468" s="2" t="n"/>
      <c r="L468" s="2" t="n"/>
    </row>
    <row r="469">
      <c r="A469" s="50" t="inlineStr">
        <is>
          <t>Intergovernmental</t>
        </is>
      </c>
      <c r="B469" s="51">
        <f>SUMIFS(GF_Budget_Detail!$E$5:$E$295,GF_Budget_Detail!$A$5:$A$295,$J$461,GF_Budget_Detail!$D$5:$D$295,"Intergovernmental")</f>
        <v/>
      </c>
      <c r="C469" s="51">
        <f>SUMIFS(GF_Budget_Detail!$F$5:$F$295,GF_Budget_Detail!$A$5:$A$295,$J$461,GF_Budget_Detail!$D$5:$D$295,"Intergovernmental")</f>
        <v/>
      </c>
      <c r="D469" s="51">
        <f>SUMIFS(GF_Budget_Detail!$G$5:$G$295,GF_Budget_Detail!$A$5:$A$295,$J$461,GF_Budget_Detail!$D$5:$D$295,"Intergovernmental")</f>
        <v/>
      </c>
      <c r="E469" s="23">
        <f>C469-B469</f>
        <v/>
      </c>
      <c r="F469" s="23">
        <f>(D469-C469)</f>
        <v/>
      </c>
      <c r="G469" s="52">
        <f>(D469-B469)</f>
        <v/>
      </c>
      <c r="H469" s="34">
        <f>IFERROR(F469/ABS(C469),0)</f>
        <v/>
      </c>
      <c r="I469" s="53">
        <f>IF(AND(ABS(F469)&gt;=$L$2,ABS(H469)&gt;=$L$3),"Explain","")</f>
        <v/>
      </c>
      <c r="J469" s="2" t="n"/>
      <c r="K469" s="2" t="n"/>
      <c r="L469" s="2" t="n"/>
    </row>
    <row r="470">
      <c r="A470" s="50" t="inlineStr">
        <is>
          <t>Charges for services</t>
        </is>
      </c>
      <c r="B470" s="51">
        <f>SUMIFS(GF_Budget_Detail!$E$5:$E$295,GF_Budget_Detail!$A$5:$A$295,$J$461,GF_Budget_Detail!$D$5:$D$295,"Charges for services")</f>
        <v/>
      </c>
      <c r="C470" s="51">
        <f>SUMIFS(GF_Budget_Detail!$F$5:$F$295,GF_Budget_Detail!$A$5:$A$295,$J$461,GF_Budget_Detail!$D$5:$D$295,"Charges for services")</f>
        <v/>
      </c>
      <c r="D470" s="51">
        <f>SUMIFS(GF_Budget_Detail!$G$5:$G$295,GF_Budget_Detail!$A$5:$A$295,$J$461,GF_Budget_Detail!$D$5:$D$295,"Charges for services")</f>
        <v/>
      </c>
      <c r="E470" s="23">
        <f>C470-B470</f>
        <v/>
      </c>
      <c r="F470" s="23">
        <f>(D470-C470)</f>
        <v/>
      </c>
      <c r="G470" s="52">
        <f>(D470-B470)</f>
        <v/>
      </c>
      <c r="H470" s="34">
        <f>IFERROR(F470/ABS(C470),0)</f>
        <v/>
      </c>
      <c r="I470" s="53">
        <f>IF(AND(ABS(F470)&gt;=$L$2,ABS(H470)&gt;=$L$3),"Explain","")</f>
        <v/>
      </c>
      <c r="J470" s="2" t="n"/>
      <c r="K470" s="2" t="n"/>
      <c r="L470" s="2" t="n"/>
    </row>
    <row r="471">
      <c r="A471" s="50" t="inlineStr">
        <is>
          <t>Other revenues</t>
        </is>
      </c>
      <c r="B471" s="51">
        <f>SUMIFS(GF_Budget_Detail!$E$5:$E$295,GF_Budget_Detail!$A$5:$A$295,$J$461,GF_Budget_Detail!$D$5:$D$295,"Other revenues")</f>
        <v/>
      </c>
      <c r="C471" s="51">
        <f>SUMIFS(GF_Budget_Detail!$F$5:$F$295,GF_Budget_Detail!$A$5:$A$295,$J$461,GF_Budget_Detail!$D$5:$D$295,"Other revenues")</f>
        <v/>
      </c>
      <c r="D471" s="51">
        <f>SUMIFS(GF_Budget_Detail!$G$5:$G$295,GF_Budget_Detail!$A$5:$A$295,$J$461,GF_Budget_Detail!$D$5:$D$295,"Other revenues")</f>
        <v/>
      </c>
      <c r="E471" s="23">
        <f>C471-B471</f>
        <v/>
      </c>
      <c r="F471" s="23">
        <f>(D471-C471)</f>
        <v/>
      </c>
      <c r="G471" s="52">
        <f>(D471-B471)</f>
        <v/>
      </c>
      <c r="H471" s="34">
        <f>IFERROR(F471/ABS(C471),0)</f>
        <v/>
      </c>
      <c r="I471" s="53">
        <f>IF(AND(ABS(F471)&gt;=$L$2,ABS(H471)&gt;=$L$3),"Explain","")</f>
        <v/>
      </c>
      <c r="J471" s="2" t="n"/>
      <c r="K471" s="2" t="n"/>
      <c r="L471" s="2" t="n"/>
    </row>
    <row r="472">
      <c r="A472" s="54" t="inlineStr">
        <is>
          <t>Total revenues</t>
        </is>
      </c>
      <c r="B472" s="25">
        <f>SUM(B463:B471)</f>
        <v/>
      </c>
      <c r="C472" s="25">
        <f>SUM(C463:C471)</f>
        <v/>
      </c>
      <c r="D472" s="25">
        <f>SUM(D463:D471)</f>
        <v/>
      </c>
      <c r="E472" s="25">
        <f>C472-B472</f>
        <v/>
      </c>
      <c r="F472" s="25">
        <f>(D472-C472)</f>
        <v/>
      </c>
      <c r="G472" s="25">
        <f>(D472-B472)</f>
        <v/>
      </c>
      <c r="H472" s="55">
        <f>IFERROR(F472/ABS(C472),0)</f>
        <v/>
      </c>
      <c r="I472" s="56">
        <f>IF(AND(ABS(F472)&gt;=$L$2,ABS(H472)&gt;=$L$3),"Explain","")</f>
        <v/>
      </c>
      <c r="J472" s="2" t="n"/>
      <c r="K472" s="2" t="n"/>
      <c r="L472" s="2" t="n"/>
    </row>
    <row r="473">
      <c r="A473" s="2" t="n"/>
      <c r="B473" s="2" t="n"/>
      <c r="C473" s="2" t="n"/>
      <c r="D473" s="2" t="n"/>
      <c r="E473" s="2" t="n"/>
      <c r="F473" s="2" t="n"/>
      <c r="G473" s="2" t="n"/>
      <c r="H473" s="2" t="n"/>
      <c r="I473" s="2" t="n"/>
      <c r="J473" s="2" t="n"/>
      <c r="K473" s="2" t="n"/>
      <c r="L473" s="2" t="n"/>
    </row>
    <row r="474">
      <c r="A474" s="50" t="inlineStr">
        <is>
          <t>General government</t>
        </is>
      </c>
      <c r="B474" s="51">
        <f>SUMIFS(GF_Budget_Detail!$E$5:$E$295,GF_Budget_Detail!$A$5:$A$295,$J$461,GF_Budget_Detail!$D$5:$D$295,"General government")</f>
        <v/>
      </c>
      <c r="C474" s="51">
        <f>SUMIFS(GF_Budget_Detail!$F$5:$F$295,GF_Budget_Detail!$A$5:$A$295,$J$461,GF_Budget_Detail!$D$5:$D$295,"General government")</f>
        <v/>
      </c>
      <c r="D474" s="51">
        <f>SUMIFS(GF_Budget_Detail!$G$5:$G$295,GF_Budget_Detail!$A$5:$A$295,$J$461,GF_Budget_Detail!$D$5:$D$295,"General government")</f>
        <v/>
      </c>
      <c r="E474" s="23">
        <f>C474-B474</f>
        <v/>
      </c>
      <c r="F474" s="23">
        <f>-(D474-C474)</f>
        <v/>
      </c>
      <c r="G474" s="52">
        <f>-(D474-B474)</f>
        <v/>
      </c>
      <c r="H474" s="34">
        <f>IFERROR(F474/ABS(C474),0)</f>
        <v/>
      </c>
      <c r="I474" s="53">
        <f>IF(AND(ABS(F474)&gt;=$L$2,ABS(H474)&gt;=$L$3),"Explain","")</f>
        <v/>
      </c>
      <c r="J474" s="2" t="n"/>
      <c r="K474" s="2" t="n"/>
      <c r="L474" s="2" t="n"/>
    </row>
    <row r="475">
      <c r="A475" s="50" t="inlineStr">
        <is>
          <t>Public works</t>
        </is>
      </c>
      <c r="B475" s="51">
        <f>SUMIFS(GF_Budget_Detail!$E$5:$E$295,GF_Budget_Detail!$A$5:$A$295,$J$461,GF_Budget_Detail!$D$5:$D$295,"Public works")</f>
        <v/>
      </c>
      <c r="C475" s="51">
        <f>SUMIFS(GF_Budget_Detail!$F$5:$F$295,GF_Budget_Detail!$A$5:$A$295,$J$461,GF_Budget_Detail!$D$5:$D$295,"Public works")</f>
        <v/>
      </c>
      <c r="D475" s="51">
        <f>SUMIFS(GF_Budget_Detail!$G$5:$G$295,GF_Budget_Detail!$A$5:$A$295,$J$461,GF_Budget_Detail!$D$5:$D$295,"Public works")</f>
        <v/>
      </c>
      <c r="E475" s="23">
        <f>C475-B475</f>
        <v/>
      </c>
      <c r="F475" s="23">
        <f>-(D475-C475)</f>
        <v/>
      </c>
      <c r="G475" s="52">
        <f>-(D475-B475)</f>
        <v/>
      </c>
      <c r="H475" s="34">
        <f>IFERROR(F475/ABS(C475),0)</f>
        <v/>
      </c>
      <c r="I475" s="53">
        <f>IF(AND(ABS(F475)&gt;=$L$2,ABS(H475)&gt;=$L$3),"Explain","")</f>
        <v/>
      </c>
      <c r="J475" s="2" t="n"/>
      <c r="K475" s="2" t="n"/>
      <c r="L475" s="2" t="n"/>
    </row>
    <row r="476">
      <c r="A476" s="50" t="inlineStr">
        <is>
          <t>Recreation</t>
        </is>
      </c>
      <c r="B476" s="51">
        <f>SUMIFS(GF_Budget_Detail!$E$5:$E$295,GF_Budget_Detail!$A$5:$A$295,$J$461,GF_Budget_Detail!$D$5:$D$295,"Recreation")</f>
        <v/>
      </c>
      <c r="C476" s="51">
        <f>SUMIFS(GF_Budget_Detail!$F$5:$F$295,GF_Budget_Detail!$A$5:$A$295,$J$461,GF_Budget_Detail!$D$5:$D$295,"Recreation")</f>
        <v/>
      </c>
      <c r="D476" s="51">
        <f>SUMIFS(GF_Budget_Detail!$G$5:$G$295,GF_Budget_Detail!$A$5:$A$295,$J$461,GF_Budget_Detail!$D$5:$D$295,"Recreation")</f>
        <v/>
      </c>
      <c r="E476" s="23">
        <f>C476-B476</f>
        <v/>
      </c>
      <c r="F476" s="23">
        <f>-(D476-C476)</f>
        <v/>
      </c>
      <c r="G476" s="52">
        <f>-(D476-B476)</f>
        <v/>
      </c>
      <c r="H476" s="34">
        <f>IFERROR(F476/ABS(C476),0)</f>
        <v/>
      </c>
      <c r="I476" s="53">
        <f>IF(AND(ABS(F476)&gt;=$L$2,ABS(H476)&gt;=$L$3),"Explain","")</f>
        <v/>
      </c>
      <c r="J476" s="2" t="n"/>
      <c r="K476" s="2" t="n"/>
      <c r="L476" s="2" t="n"/>
    </row>
    <row r="477">
      <c r="A477" s="50" t="inlineStr">
        <is>
          <t>Community development</t>
        </is>
      </c>
      <c r="B477" s="51">
        <f>SUMIFS(GF_Budget_Detail!$E$5:$E$295,GF_Budget_Detail!$A$5:$A$295,$J$461,GF_Budget_Detail!$D$5:$D$295,"Community development")</f>
        <v/>
      </c>
      <c r="C477" s="51">
        <f>SUMIFS(GF_Budget_Detail!$F$5:$F$295,GF_Budget_Detail!$A$5:$A$295,$J$461,GF_Budget_Detail!$D$5:$D$295,"Community development")</f>
        <v/>
      </c>
      <c r="D477" s="51">
        <f>SUMIFS(GF_Budget_Detail!$G$5:$G$295,GF_Budget_Detail!$A$5:$A$295,$J$461,GF_Budget_Detail!$D$5:$D$295,"Community development")</f>
        <v/>
      </c>
      <c r="E477" s="23">
        <f>C477-B477</f>
        <v/>
      </c>
      <c r="F477" s="23">
        <f>-(D477-C477)</f>
        <v/>
      </c>
      <c r="G477" s="52">
        <f>-(D477-B477)</f>
        <v/>
      </c>
      <c r="H477" s="34">
        <f>IFERROR(F477/ABS(C477),0)</f>
        <v/>
      </c>
      <c r="I477" s="53">
        <f>IF(AND(ABS(F477)&gt;=$L$2,ABS(H477)&gt;=$L$3),"Explain","")</f>
        <v/>
      </c>
      <c r="J477" s="2" t="n"/>
      <c r="K477" s="2" t="n"/>
      <c r="L477" s="2" t="n"/>
    </row>
    <row r="478">
      <c r="A478" s="50" t="inlineStr">
        <is>
          <t>Public safety - Police</t>
        </is>
      </c>
      <c r="B478" s="51">
        <f>SUMIFS(GF_Budget_Detail!$E$5:$E$295,GF_Budget_Detail!$A$5:$A$295,$J$461,GF_Budget_Detail!$D$5:$D$295,"Public safety - Police")</f>
        <v/>
      </c>
      <c r="C478" s="51">
        <f>SUMIFS(GF_Budget_Detail!$F$5:$F$295,GF_Budget_Detail!$A$5:$A$295,$J$461,GF_Budget_Detail!$D$5:$D$295,"Public safety - Police")</f>
        <v/>
      </c>
      <c r="D478" s="51">
        <f>SUMIFS(GF_Budget_Detail!$G$5:$G$295,GF_Budget_Detail!$A$5:$A$295,$J$461,GF_Budget_Detail!$D$5:$D$295,"Public safety - Police")</f>
        <v/>
      </c>
      <c r="E478" s="23">
        <f>C478-B478</f>
        <v/>
      </c>
      <c r="F478" s="23">
        <f>-(D478-C478)</f>
        <v/>
      </c>
      <c r="G478" s="52">
        <f>-(D478-B478)</f>
        <v/>
      </c>
      <c r="H478" s="34">
        <f>IFERROR(F478/ABS(C478),0)</f>
        <v/>
      </c>
      <c r="I478" s="53">
        <f>IF(AND(ABS(F478)&gt;=$L$2,ABS(H478)&gt;=$L$3),"Explain","")</f>
        <v/>
      </c>
      <c r="J478" s="2" t="n"/>
      <c r="K478" s="2" t="n"/>
      <c r="L478" s="2" t="n"/>
    </row>
    <row r="479">
      <c r="A479" s="50" t="inlineStr">
        <is>
          <t>Public safety - Fire</t>
        </is>
      </c>
      <c r="B479" s="51">
        <f>SUMIFS(GF_Budget_Detail!$E$5:$E$295,GF_Budget_Detail!$A$5:$A$295,$J$461,GF_Budget_Detail!$D$5:$D$295,"Public safety - Fire")</f>
        <v/>
      </c>
      <c r="C479" s="51">
        <f>SUMIFS(GF_Budget_Detail!$F$5:$F$295,GF_Budget_Detail!$A$5:$A$295,$J$461,GF_Budget_Detail!$D$5:$D$295,"Public safety - Fire")</f>
        <v/>
      </c>
      <c r="D479" s="51">
        <f>SUMIFS(GF_Budget_Detail!$G$5:$G$295,GF_Budget_Detail!$A$5:$A$295,$J$461,GF_Budget_Detail!$D$5:$D$295,"Public safety - Fire")</f>
        <v/>
      </c>
      <c r="E479" s="23">
        <f>C479-B479</f>
        <v/>
      </c>
      <c r="F479" s="23">
        <f>-(D479-C479)</f>
        <v/>
      </c>
      <c r="G479" s="52">
        <f>-(D479-B479)</f>
        <v/>
      </c>
      <c r="H479" s="34">
        <f>IFERROR(F479/ABS(C479),0)</f>
        <v/>
      </c>
      <c r="I479" s="53">
        <f>IF(AND(ABS(F479)&gt;=$L$2,ABS(H479)&gt;=$L$3),"Explain","")</f>
        <v/>
      </c>
      <c r="J479" s="2" t="n"/>
      <c r="K479" s="2" t="n"/>
      <c r="L479" s="2" t="n"/>
    </row>
    <row r="480">
      <c r="A480" s="50" t="inlineStr">
        <is>
          <t>Public safety (combined)</t>
        </is>
      </c>
      <c r="B480" s="51">
        <f>SUMIFS(GF_Budget_Detail!$E$5:$E$295,GF_Budget_Detail!$A$5:$A$295,$J$461,GF_Budget_Detail!$D$5:$D$295,"Public safety (combined)")</f>
        <v/>
      </c>
      <c r="C480" s="51">
        <f>SUMIFS(GF_Budget_Detail!$F$5:$F$295,GF_Budget_Detail!$A$5:$A$295,$J$461,GF_Budget_Detail!$D$5:$D$295,"Public safety (combined)")</f>
        <v/>
      </c>
      <c r="D480" s="51">
        <f>SUMIFS(GF_Budget_Detail!$G$5:$G$295,GF_Budget_Detail!$A$5:$A$295,$J$461,GF_Budget_Detail!$D$5:$D$295,"Public safety (combined)")</f>
        <v/>
      </c>
      <c r="E480" s="23">
        <f>C480-B480</f>
        <v/>
      </c>
      <c r="F480" s="23">
        <f>-(D480-C480)</f>
        <v/>
      </c>
      <c r="G480" s="52">
        <f>-(D480-B480)</f>
        <v/>
      </c>
      <c r="H480" s="34">
        <f>IFERROR(F480/ABS(C480),0)</f>
        <v/>
      </c>
      <c r="I480" s="53">
        <f>IF(AND(ABS(F480)&gt;=$L$2,ABS(H480)&gt;=$L$3),"Explain","")</f>
        <v/>
      </c>
      <c r="J480" s="2" t="n"/>
      <c r="K480" s="2" t="n"/>
      <c r="L480" s="2" t="n"/>
    </row>
    <row r="481">
      <c r="A481" s="50" t="inlineStr">
        <is>
          <t>Payment of sales tax to City of Richmond</t>
        </is>
      </c>
      <c r="B481" s="51">
        <f>SUMIFS(GF_Budget_Detail!$E$5:$E$295,GF_Budget_Detail!$A$5:$A$295,$J$461,GF_Budget_Detail!$D$5:$D$295,"Payment of sales tax to City of Richmond")</f>
        <v/>
      </c>
      <c r="C481" s="51">
        <f>SUMIFS(GF_Budget_Detail!$F$5:$F$295,GF_Budget_Detail!$A$5:$A$295,$J$461,GF_Budget_Detail!$D$5:$D$295,"Payment of sales tax to City of Richmond")</f>
        <v/>
      </c>
      <c r="D481" s="51">
        <f>SUMIFS(GF_Budget_Detail!$G$5:$G$295,GF_Budget_Detail!$A$5:$A$295,$J$461,GF_Budget_Detail!$D$5:$D$295,"Payment of sales tax to City of Richmond")</f>
        <v/>
      </c>
      <c r="E481" s="23">
        <f>C481-B481</f>
        <v/>
      </c>
      <c r="F481" s="23">
        <f>-(D481-C481)</f>
        <v/>
      </c>
      <c r="G481" s="52">
        <f>-(D481-B481)</f>
        <v/>
      </c>
      <c r="H481" s="34">
        <f>IFERROR(F481/ABS(C481),0)</f>
        <v/>
      </c>
      <c r="I481" s="53">
        <f>IF(AND(ABS(F481)&gt;=$L$2,ABS(H481)&gt;=$L$3),"Explain","")</f>
        <v/>
      </c>
      <c r="J481" s="2" t="n"/>
      <c r="K481" s="2" t="n"/>
      <c r="L481" s="2" t="n"/>
    </row>
    <row r="482">
      <c r="A482" s="50" t="inlineStr">
        <is>
          <t>Capital outlay</t>
        </is>
      </c>
      <c r="B482" s="51">
        <f>SUMIFS(GF_Budget_Detail!$E$5:$E$295,GF_Budget_Detail!$A$5:$A$295,$J$461,GF_Budget_Detail!$D$5:$D$295,"Capital outlay")</f>
        <v/>
      </c>
      <c r="C482" s="51">
        <f>SUMIFS(GF_Budget_Detail!$F$5:$F$295,GF_Budget_Detail!$A$5:$A$295,$J$461,GF_Budget_Detail!$D$5:$D$295,"Capital outlay")</f>
        <v/>
      </c>
      <c r="D482" s="51">
        <f>SUMIFS(GF_Budget_Detail!$G$5:$G$295,GF_Budget_Detail!$A$5:$A$295,$J$461,GF_Budget_Detail!$D$5:$D$295,"Capital outlay")</f>
        <v/>
      </c>
      <c r="E482" s="23">
        <f>C482-B482</f>
        <v/>
      </c>
      <c r="F482" s="23">
        <f>-(D482-C482)</f>
        <v/>
      </c>
      <c r="G482" s="52">
        <f>-(D482-B482)</f>
        <v/>
      </c>
      <c r="H482" s="34">
        <f>IFERROR(F482/ABS(C482),0)</f>
        <v/>
      </c>
      <c r="I482" s="53">
        <f>IF(AND(ABS(F482)&gt;=$L$2,ABS(H482)&gt;=$L$3),"Explain","")</f>
        <v/>
      </c>
      <c r="J482" s="2" t="n"/>
      <c r="K482" s="2" t="n"/>
      <c r="L482" s="2" t="n"/>
    </row>
    <row r="483">
      <c r="A483" s="50" t="inlineStr">
        <is>
          <t>Debt service - principal</t>
        </is>
      </c>
      <c r="B483" s="51">
        <f>SUMIFS(GF_Budget_Detail!$E$5:$E$295,GF_Budget_Detail!$A$5:$A$295,$J$461,GF_Budget_Detail!$D$5:$D$295,"Debt service - principal")</f>
        <v/>
      </c>
      <c r="C483" s="51">
        <f>SUMIFS(GF_Budget_Detail!$F$5:$F$295,GF_Budget_Detail!$A$5:$A$295,$J$461,GF_Budget_Detail!$D$5:$D$295,"Debt service - principal")</f>
        <v/>
      </c>
      <c r="D483" s="51">
        <f>SUMIFS(GF_Budget_Detail!$G$5:$G$295,GF_Budget_Detail!$A$5:$A$295,$J$461,GF_Budget_Detail!$D$5:$D$295,"Debt service - principal")</f>
        <v/>
      </c>
      <c r="E483" s="23">
        <f>C483-B483</f>
        <v/>
      </c>
      <c r="F483" s="23">
        <f>-(D483-C483)</f>
        <v/>
      </c>
      <c r="G483" s="52">
        <f>-(D483-B483)</f>
        <v/>
      </c>
      <c r="H483" s="34">
        <f>IFERROR(F483/ABS(C483),0)</f>
        <v/>
      </c>
      <c r="I483" s="53">
        <f>IF(AND(ABS(F483)&gt;=$L$2,ABS(H483)&gt;=$L$3),"Explain","")</f>
        <v/>
      </c>
      <c r="J483" s="2" t="n"/>
      <c r="K483" s="2" t="n"/>
      <c r="L483" s="2" t="n"/>
    </row>
    <row r="484">
      <c r="A484" s="50" t="inlineStr">
        <is>
          <t>Debt service - interest</t>
        </is>
      </c>
      <c r="B484" s="51">
        <f>SUMIFS(GF_Budget_Detail!$E$5:$E$295,GF_Budget_Detail!$A$5:$A$295,$J$461,GF_Budget_Detail!$D$5:$D$295,"Debt service - interest")</f>
        <v/>
      </c>
      <c r="C484" s="51">
        <f>SUMIFS(GF_Budget_Detail!$F$5:$F$295,GF_Budget_Detail!$A$5:$A$295,$J$461,GF_Budget_Detail!$D$5:$D$295,"Debt service - interest")</f>
        <v/>
      </c>
      <c r="D484" s="51">
        <f>SUMIFS(GF_Budget_Detail!$G$5:$G$295,GF_Budget_Detail!$A$5:$A$295,$J$461,GF_Budget_Detail!$D$5:$D$295,"Debt service - interest")</f>
        <v/>
      </c>
      <c r="E484" s="23">
        <f>C484-B484</f>
        <v/>
      </c>
      <c r="F484" s="23">
        <f>-(D484-C484)</f>
        <v/>
      </c>
      <c r="G484" s="52">
        <f>-(D484-B484)</f>
        <v/>
      </c>
      <c r="H484" s="34">
        <f>IFERROR(F484/ABS(C484),0)</f>
        <v/>
      </c>
      <c r="I484" s="53">
        <f>IF(AND(ABS(F484)&gt;=$L$2,ABS(H484)&gt;=$L$3),"Explain","")</f>
        <v/>
      </c>
      <c r="J484" s="2" t="n"/>
      <c r="K484" s="2" t="n"/>
      <c r="L484" s="2" t="n"/>
    </row>
    <row r="485">
      <c r="A485" s="50" t="inlineStr">
        <is>
          <t>Non-departmental (budget-report basis)</t>
        </is>
      </c>
      <c r="B485" s="51">
        <f>SUMIFS(GF_Budget_Detail!$E$5:$E$295,GF_Budget_Detail!$A$5:$A$295,$J$461,GF_Budget_Detail!$D$5:$D$295,"Non-departmental (budget-report basis)")</f>
        <v/>
      </c>
      <c r="C485" s="51">
        <f>SUMIFS(GF_Budget_Detail!$F$5:$F$295,GF_Budget_Detail!$A$5:$A$295,$J$461,GF_Budget_Detail!$D$5:$D$295,"Non-departmental (budget-report basis)")</f>
        <v/>
      </c>
      <c r="D485" s="51">
        <f>SUMIFS(GF_Budget_Detail!$G$5:$G$295,GF_Budget_Detail!$A$5:$A$295,$J$461,GF_Budget_Detail!$D$5:$D$295,"Non-departmental (budget-report basis)")</f>
        <v/>
      </c>
      <c r="E485" s="23">
        <f>C485-B485</f>
        <v/>
      </c>
      <c r="F485" s="23">
        <f>-(D485-C485)</f>
        <v/>
      </c>
      <c r="G485" s="52">
        <f>-(D485-B485)</f>
        <v/>
      </c>
      <c r="H485" s="34">
        <f>IFERROR(F485/ABS(C485),0)</f>
        <v/>
      </c>
      <c r="I485" s="53">
        <f>IF(AND(ABS(F485)&gt;=$L$2,ABS(H485)&gt;=$L$3),"Explain","")</f>
        <v/>
      </c>
      <c r="J485" s="2" t="n"/>
      <c r="K485" s="2" t="n"/>
      <c r="L485" s="2" t="n"/>
    </row>
    <row r="486">
      <c r="A486" s="50" t="inlineStr">
        <is>
          <t>Original budget not itemized by department</t>
        </is>
      </c>
      <c r="B486" s="51">
        <f>SUMIFS(GF_Budget_Detail!$E$5:$E$295,GF_Budget_Detail!$A$5:$A$295,$J$461,GF_Budget_Detail!$D$5:$D$295,"Original budget not itemized by department")</f>
        <v/>
      </c>
      <c r="C486" s="51">
        <f>SUMIFS(GF_Budget_Detail!$F$5:$F$295,GF_Budget_Detail!$A$5:$A$295,$J$461,GF_Budget_Detail!$D$5:$D$295,"Original budget not itemized by department")</f>
        <v/>
      </c>
      <c r="D486" s="51">
        <f>SUMIFS(GF_Budget_Detail!$G$5:$G$295,GF_Budget_Detail!$A$5:$A$295,$J$461,GF_Budget_Detail!$D$5:$D$295,"Original budget not itemized by department")</f>
        <v/>
      </c>
      <c r="E486" s="23">
        <f>C486-B486</f>
        <v/>
      </c>
      <c r="F486" s="23">
        <f>-(D486-C486)</f>
        <v/>
      </c>
      <c r="G486" s="52">
        <f>-(D486-B486)</f>
        <v/>
      </c>
      <c r="H486" s="34">
        <f>IFERROR(F486/ABS(C486),0)</f>
        <v/>
      </c>
      <c r="I486" s="53">
        <f>IF(AND(ABS(F486)&gt;=$L$2,ABS(H486)&gt;=$L$3),"Explain","")</f>
        <v/>
      </c>
      <c r="J486" s="2" t="n"/>
      <c r="K486" s="2" t="n"/>
      <c r="L486" s="2" t="n"/>
    </row>
    <row r="487">
      <c r="A487" s="54" t="inlineStr">
        <is>
          <t>Total expenditures</t>
        </is>
      </c>
      <c r="B487" s="25">
        <f>SUM(B474:B486)</f>
        <v/>
      </c>
      <c r="C487" s="25">
        <f>SUM(C474:C486)</f>
        <v/>
      </c>
      <c r="D487" s="25">
        <f>SUM(D474:D486)</f>
        <v/>
      </c>
      <c r="E487" s="25">
        <f>C487-B487</f>
        <v/>
      </c>
      <c r="F487" s="25">
        <f>-(D487-C487)</f>
        <v/>
      </c>
      <c r="G487" s="25">
        <f>-(D487-B487)</f>
        <v/>
      </c>
      <c r="H487" s="55">
        <f>IFERROR(F487/ABS(C487),0)</f>
        <v/>
      </c>
      <c r="I487" s="56">
        <f>IF(AND(ABS(F487)&gt;=$L$2,ABS(H487)&gt;=$L$3),"Explain","")</f>
        <v/>
      </c>
      <c r="J487" s="2" t="n"/>
      <c r="K487" s="2" t="n"/>
      <c r="L487" s="2" t="n"/>
    </row>
    <row r="488">
      <c r="A488" s="2" t="n"/>
      <c r="B488" s="2" t="n"/>
      <c r="C488" s="2" t="n"/>
      <c r="D488" s="2" t="n"/>
      <c r="E488" s="2" t="n"/>
      <c r="F488" s="2" t="n"/>
      <c r="G488" s="2" t="n"/>
      <c r="H488" s="2" t="n"/>
      <c r="I488" s="2" t="n"/>
      <c r="J488" s="2" t="n"/>
      <c r="K488" s="2" t="n"/>
      <c r="L488" s="2" t="n"/>
    </row>
    <row r="489">
      <c r="A489" s="50" t="inlineStr">
        <is>
          <t>Transfers in</t>
        </is>
      </c>
      <c r="B489" s="51">
        <f>SUMIFS(GF_Budget_Detail!$E$5:$E$295,GF_Budget_Detail!$A$5:$A$295,$J$461,GF_Budget_Detail!$D$5:$D$295,"Transfers in")</f>
        <v/>
      </c>
      <c r="C489" s="51">
        <f>SUMIFS(GF_Budget_Detail!$F$5:$F$295,GF_Budget_Detail!$A$5:$A$295,$J$461,GF_Budget_Detail!$D$5:$D$295,"Transfers in")</f>
        <v/>
      </c>
      <c r="D489" s="51">
        <f>SUMIFS(GF_Budget_Detail!$G$5:$G$295,GF_Budget_Detail!$A$5:$A$295,$J$461,GF_Budget_Detail!$D$5:$D$295,"Transfers in")</f>
        <v/>
      </c>
      <c r="E489" s="23">
        <f>C489-B489</f>
        <v/>
      </c>
      <c r="F489" s="23">
        <f>(D489-C489)</f>
        <v/>
      </c>
      <c r="G489" s="52">
        <f>(D489-B489)</f>
        <v/>
      </c>
      <c r="H489" s="34">
        <f>IFERROR(F489/ABS(C489),0)</f>
        <v/>
      </c>
      <c r="I489" s="53">
        <f>IF(AND(ABS(F489)&gt;=$L$2,ABS(H489)&gt;=$L$3),"Explain","")</f>
        <v/>
      </c>
      <c r="J489" s="2" t="n"/>
      <c r="K489" s="2" t="n"/>
      <c r="L489" s="2" t="n"/>
    </row>
    <row r="490">
      <c r="A490" s="50" t="inlineStr">
        <is>
          <t>Transfers out</t>
        </is>
      </c>
      <c r="B490" s="51">
        <f>SUMIFS(GF_Budget_Detail!$E$5:$E$295,GF_Budget_Detail!$A$5:$A$295,$J$461,GF_Budget_Detail!$D$5:$D$295,"Transfers out")</f>
        <v/>
      </c>
      <c r="C490" s="51">
        <f>SUMIFS(GF_Budget_Detail!$F$5:$F$295,GF_Budget_Detail!$A$5:$A$295,$J$461,GF_Budget_Detail!$D$5:$D$295,"Transfers out")</f>
        <v/>
      </c>
      <c r="D490" s="51">
        <f>SUMIFS(GF_Budget_Detail!$G$5:$G$295,GF_Budget_Detail!$A$5:$A$295,$J$461,GF_Budget_Detail!$D$5:$D$295,"Transfers out")</f>
        <v/>
      </c>
      <c r="E490" s="23">
        <f>C490-B490</f>
        <v/>
      </c>
      <c r="F490" s="23">
        <f>(D490-C490)</f>
        <v/>
      </c>
      <c r="G490" s="52">
        <f>(D490-B490)</f>
        <v/>
      </c>
      <c r="H490" s="34">
        <f>IFERROR(F490/ABS(C490),0)</f>
        <v/>
      </c>
      <c r="I490" s="53">
        <f>IF(AND(ABS(F490)&gt;=$L$2,ABS(H490)&gt;=$L$3),"Explain","")</f>
        <v/>
      </c>
      <c r="J490" s="2" t="n"/>
      <c r="K490" s="2" t="n"/>
      <c r="L490" s="2" t="n"/>
    </row>
    <row r="491">
      <c r="A491" s="50" t="inlineStr">
        <is>
          <t>Debt / lease financing proceeds</t>
        </is>
      </c>
      <c r="B491" s="51">
        <f>SUMIFS(GF_Budget_Detail!$E$5:$E$295,GF_Budget_Detail!$A$5:$A$295,$J$461,GF_Budget_Detail!$D$5:$D$295,"Debt / lease financing proceeds")</f>
        <v/>
      </c>
      <c r="C491" s="51">
        <f>SUMIFS(GF_Budget_Detail!$F$5:$F$295,GF_Budget_Detail!$A$5:$A$295,$J$461,GF_Budget_Detail!$D$5:$D$295,"Debt / lease financing proceeds")</f>
        <v/>
      </c>
      <c r="D491" s="51">
        <f>SUMIFS(GF_Budget_Detail!$G$5:$G$295,GF_Budget_Detail!$A$5:$A$295,$J$461,GF_Budget_Detail!$D$5:$D$295,"Debt / lease financing proceeds")</f>
        <v/>
      </c>
      <c r="E491" s="23">
        <f>C491-B491</f>
        <v/>
      </c>
      <c r="F491" s="23">
        <f>(D491-C491)</f>
        <v/>
      </c>
      <c r="G491" s="52">
        <f>(D491-B491)</f>
        <v/>
      </c>
      <c r="H491" s="34">
        <f>IFERROR(F491/ABS(C491),0)</f>
        <v/>
      </c>
      <c r="I491" s="53">
        <f>IF(AND(ABS(F491)&gt;=$L$2,ABS(H491)&gt;=$L$3),"Explain","")</f>
        <v/>
      </c>
      <c r="J491" s="2" t="n"/>
      <c r="K491" s="2" t="n"/>
      <c r="L491" s="2" t="n"/>
    </row>
    <row r="492">
      <c r="A492" s="50" t="inlineStr">
        <is>
          <t>Proceeds from sale of capital assets</t>
        </is>
      </c>
      <c r="B492" s="51">
        <f>SUMIFS(GF_Budget_Detail!$E$5:$E$295,GF_Budget_Detail!$A$5:$A$295,$J$461,GF_Budget_Detail!$D$5:$D$295,"Proceeds from sale of capital assets")</f>
        <v/>
      </c>
      <c r="C492" s="51">
        <f>SUMIFS(GF_Budget_Detail!$F$5:$F$295,GF_Budget_Detail!$A$5:$A$295,$J$461,GF_Budget_Detail!$D$5:$D$295,"Proceeds from sale of capital assets")</f>
        <v/>
      </c>
      <c r="D492" s="51">
        <f>SUMIFS(GF_Budget_Detail!$G$5:$G$295,GF_Budget_Detail!$A$5:$A$295,$J$461,GF_Budget_Detail!$D$5:$D$295,"Proceeds from sale of capital assets")</f>
        <v/>
      </c>
      <c r="E492" s="23">
        <f>C492-B492</f>
        <v/>
      </c>
      <c r="F492" s="23">
        <f>(D492-C492)</f>
        <v/>
      </c>
      <c r="G492" s="52">
        <f>(D492-B492)</f>
        <v/>
      </c>
      <c r="H492" s="34">
        <f>IFERROR(F492/ABS(C492),0)</f>
        <v/>
      </c>
      <c r="I492" s="53">
        <f>IF(AND(ABS(F492)&gt;=$L$2,ABS(H492)&gt;=$L$3),"Explain","")</f>
        <v/>
      </c>
      <c r="J492" s="2" t="n"/>
      <c r="K492" s="2" t="n"/>
      <c r="L492" s="2" t="n"/>
    </row>
    <row r="493">
      <c r="A493" s="50" t="inlineStr">
        <is>
          <t>Special items</t>
        </is>
      </c>
      <c r="B493" s="51">
        <f>SUMIFS(GF_Budget_Detail!$E$5:$E$295,GF_Budget_Detail!$A$5:$A$295,$J$461,GF_Budget_Detail!$D$5:$D$295,"Special items")</f>
        <v/>
      </c>
      <c r="C493" s="51">
        <f>SUMIFS(GF_Budget_Detail!$F$5:$F$295,GF_Budget_Detail!$A$5:$A$295,$J$461,GF_Budget_Detail!$D$5:$D$295,"Special items")</f>
        <v/>
      </c>
      <c r="D493" s="51">
        <f>SUMIFS(GF_Budget_Detail!$G$5:$G$295,GF_Budget_Detail!$A$5:$A$295,$J$461,GF_Budget_Detail!$D$5:$D$295,"Special items")</f>
        <v/>
      </c>
      <c r="E493" s="23">
        <f>C493-B493</f>
        <v/>
      </c>
      <c r="F493" s="23">
        <f>(D493-C493)</f>
        <v/>
      </c>
      <c r="G493" s="52">
        <f>(D493-B493)</f>
        <v/>
      </c>
      <c r="H493" s="34">
        <f>IFERROR(F493/ABS(C493),0)</f>
        <v/>
      </c>
      <c r="I493" s="53">
        <f>IF(AND(ABS(F493)&gt;=$L$2,ABS(H493)&gt;=$L$3),"Explain","")</f>
        <v/>
      </c>
      <c r="J493" s="2" t="n"/>
      <c r="K493" s="2" t="n"/>
      <c r="L493" s="2" t="n"/>
    </row>
    <row r="494">
      <c r="A494" s="54" t="inlineStr">
        <is>
          <t>Total other financing sources (uses) and special items</t>
        </is>
      </c>
      <c r="B494" s="25">
        <f>SUM(B489:B493)</f>
        <v/>
      </c>
      <c r="C494" s="25">
        <f>SUM(C489:C493)</f>
        <v/>
      </c>
      <c r="D494" s="25">
        <f>SUM(D489:D493)</f>
        <v/>
      </c>
      <c r="E494" s="25">
        <f>C494-B494</f>
        <v/>
      </c>
      <c r="F494" s="25">
        <f>(D494-C494)</f>
        <v/>
      </c>
      <c r="G494" s="25">
        <f>(D494-B494)</f>
        <v/>
      </c>
      <c r="H494" s="55">
        <f>IFERROR(F494/ABS(C494),0)</f>
        <v/>
      </c>
      <c r="I494" s="56">
        <f>IF(AND(ABS(F494)&gt;=$L$2,ABS(H494)&gt;=$L$3),"Explain","")</f>
        <v/>
      </c>
      <c r="J494" s="2" t="n"/>
      <c r="K494" s="2" t="n"/>
      <c r="L494" s="2" t="n"/>
    </row>
    <row r="495">
      <c r="A495" s="2" t="n"/>
      <c r="B495" s="2" t="n"/>
      <c r="C495" s="2" t="n"/>
      <c r="D495" s="2" t="n"/>
      <c r="E495" s="2" t="n"/>
      <c r="F495" s="2" t="n"/>
      <c r="G495" s="2" t="n"/>
      <c r="H495" s="2" t="n"/>
      <c r="I495" s="2" t="n"/>
      <c r="J495" s="2" t="n"/>
      <c r="K495" s="2" t="n"/>
      <c r="L495" s="2" t="n"/>
    </row>
    <row r="496">
      <c r="A496" s="12" t="inlineStr">
        <is>
          <t>Net change in fund balance</t>
        </is>
      </c>
      <c r="B496" s="31">
        <f>B472-B487+B494</f>
        <v/>
      </c>
      <c r="C496" s="31">
        <f>C472-C487+C494</f>
        <v/>
      </c>
      <c r="D496" s="31">
        <f>D472-D487+D494</f>
        <v/>
      </c>
      <c r="E496" s="31">
        <f>C496-B496</f>
        <v/>
      </c>
      <c r="F496" s="31">
        <f>D496-C496</f>
        <v/>
      </c>
      <c r="G496" s="31">
        <f>D496-B496</f>
        <v/>
      </c>
      <c r="H496" s="2" t="n"/>
      <c r="I496" s="2" t="n"/>
      <c r="J496" s="2" t="n"/>
      <c r="K496" s="2" t="n"/>
      <c r="L496" s="2" t="n"/>
    </row>
    <row r="497">
      <c r="A497" s="57" t="inlineStr">
        <is>
          <t>Notes on FY2025-26 (unaudited):</t>
        </is>
      </c>
      <c r="B497" s="2" t="n"/>
      <c r="C497" s="2" t="n"/>
      <c r="D497" s="2" t="n"/>
      <c r="E497" s="2" t="n"/>
      <c r="F497" s="2" t="n"/>
      <c r="G497" s="2" t="n"/>
      <c r="H497" s="2" t="n"/>
      <c r="I497" s="2" t="n"/>
      <c r="J497" s="2" t="n"/>
      <c r="K497" s="2" t="n"/>
      <c r="L497" s="2" t="n"/>
    </row>
    <row r="498">
      <c r="A498" s="7" t="inlineStr">
        <is>
          <t>- Original transfers out $761,735 = City Hall debt service $626,735 + vehicle replacement $85,000 + donations $50,000 (adopted budget detail, GF accounts 59990.x).</t>
        </is>
      </c>
      <c r="B498" s="2" t="n"/>
      <c r="C498" s="2" t="n"/>
      <c r="D498" s="2" t="n"/>
      <c r="E498" s="2" t="n"/>
      <c r="F498" s="2" t="n"/>
      <c r="G498" s="2" t="n"/>
      <c r="H498" s="2" t="n"/>
      <c r="I498" s="2" t="n"/>
      <c r="J498" s="2" t="n"/>
      <c r="K498" s="2" t="n"/>
      <c r="L498" s="2" t="n"/>
    </row>
    <row r="499">
      <c r="A499" s="7" t="inlineStr">
        <is>
          <t>- Amended expenditures $56,898,999 are $12,420 higher than adopted $53,764,017 + Council amendments $3,147,402; the Q4 report does not explain the difference.</t>
        </is>
      </c>
      <c r="B499" s="2" t="n"/>
      <c r="C499" s="2" t="n"/>
      <c r="D499" s="2" t="n"/>
      <c r="E499" s="2" t="n"/>
      <c r="F499" s="2" t="n"/>
      <c r="G499" s="2" t="n"/>
      <c r="H499" s="2" t="n"/>
      <c r="I499" s="2" t="n"/>
      <c r="J499" s="2" t="n"/>
      <c r="K499" s="2" t="n"/>
      <c r="L499" s="2" t="n"/>
    </row>
    <row r="500">
      <c r="A500" s="7" t="inlineStr">
        <is>
          <t>- Transfers out actual $2,760,128 includes a one-time cost of more than $1 million for the Successor Agency dissolution (Q4 report).</t>
        </is>
      </c>
      <c r="B500" s="2" t="n"/>
      <c r="C500" s="2" t="n"/>
      <c r="D500" s="2" t="n"/>
      <c r="E500" s="2" t="n"/>
      <c r="F500" s="2" t="n"/>
      <c r="G500" s="2" t="n"/>
      <c r="H500" s="2" t="n"/>
      <c r="I500" s="2" t="n"/>
      <c r="J500" s="2" t="n"/>
      <c r="K500" s="2" t="n"/>
      <c r="L500" s="2" t="n"/>
    </row>
    <row r="501">
      <c r="A501" s="7" t="inlineStr">
        <is>
          <t>- Basis check, FY2024-25 on the Q4 report's basis vs. the audited ACFR: revenues incl. transfers in $54,291,946 vs. $54,137,503; expenditures incl. transfers out $52,990,749 vs. $52,991,334; net change $1,301,197 vs. $1,357,170.</t>
        </is>
      </c>
      <c r="B501" s="2" t="n"/>
      <c r="C501" s="2" t="n"/>
      <c r="D501" s="2" t="n"/>
      <c r="E501" s="2" t="n"/>
      <c r="F501" s="2" t="n"/>
      <c r="G501" s="2" t="n"/>
      <c r="H501" s="2" t="n"/>
      <c r="I501" s="2" t="n"/>
      <c r="J501" s="2" t="n"/>
      <c r="K501" s="2" t="n"/>
      <c r="L501" s="2"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1F3864"/>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90" customWidth="1" min="3" max="3"/>
    <col width="34" customWidth="1" min="4" max="4"/>
  </cols>
  <sheetData>
    <row r="1">
      <c r="A1" s="1" t="inlineStr">
        <is>
          <t>City of El Cerrito - GENERAL FUND: explanations of significant budget variances</t>
        </is>
      </c>
      <c r="B1" s="2" t="n"/>
      <c r="C1" s="2" t="n"/>
      <c r="D1" s="2" t="n"/>
    </row>
    <row r="2" ht="42" customHeight="1">
      <c r="A2" s="58" t="inlineStr">
        <is>
          <t>GASB 103 (effective FY2026) requires notes explaining significant original-to-final and final-to-actual variances. The City's audited reports before FY2026 were not required to include them; explanations below are paraphrased from the ACFR MD&amp;A, budget schedules and the FY2025-26 Q4 update. Lines flagged 'Explain' without a note here are not explained in public sources.</t>
        </is>
      </c>
      <c r="B2" s="2" t="n"/>
      <c r="C2" s="2" t="n"/>
      <c r="D2" s="2" t="n"/>
    </row>
    <row r="3">
      <c r="A3" s="2" t="n"/>
      <c r="B3" s="2" t="n"/>
      <c r="C3" s="2" t="n"/>
      <c r="D3" s="2" t="n"/>
    </row>
    <row r="4">
      <c r="A4" s="16" t="inlineStr">
        <is>
          <t>FY</t>
        </is>
      </c>
      <c r="B4" s="16" t="inlineStr">
        <is>
          <t>Variance</t>
        </is>
      </c>
      <c r="C4" s="16" t="inlineStr">
        <is>
          <t>Explanation</t>
        </is>
      </c>
      <c r="D4" s="16" t="inlineStr">
        <is>
          <t>Source</t>
        </is>
      </c>
    </row>
    <row r="5">
      <c r="A5" s="4" t="n">
        <v>2019</v>
      </c>
      <c r="B5" s="4" t="inlineStr">
        <is>
          <t>Public safety - Fire over final budget by $1.10M</t>
        </is>
      </c>
      <c r="C5" s="4" t="inlineStr">
        <is>
          <t>Higher public safety overtime; MD&amp;A notes new revenue 'helped pay for increased Public Safety overtime'.</t>
        </is>
      </c>
      <c r="D5" s="4" t="inlineStr">
        <is>
          <t>FY2019 CAFR MD&amp;A</t>
        </is>
      </c>
    </row>
    <row r="6">
      <c r="A6" s="4" t="n">
        <v>2019</v>
      </c>
      <c r="B6" s="4" t="inlineStr">
        <is>
          <t>Transfers in +$1.06M; special item +$0.80M</t>
        </is>
      </c>
      <c r="C6" s="4" t="inlineStr">
        <is>
          <t>Transfers from nonmajor funds and proceeds of a land sale from Contra Costa County not in the original budget.</t>
        </is>
      </c>
      <c r="D6" s="4" t="inlineStr">
        <is>
          <t>FY2019 CAFR budget schedule</t>
        </is>
      </c>
    </row>
    <row r="7">
      <c r="A7" s="4" t="n">
        <v>2020</v>
      </c>
      <c r="B7" s="4" t="inlineStr">
        <is>
          <t>Charges for services under final budget by $1.88M</t>
        </is>
      </c>
      <c r="C7" s="4" t="inlineStr">
        <is>
          <t>COVID-19 closures of recreation and other fee-based services; offset by cost reductions and expenditure deferrals.</t>
        </is>
      </c>
      <c r="D7" s="4" t="inlineStr">
        <is>
          <t>FY2020 CAFR MD&amp;A</t>
        </is>
      </c>
    </row>
    <row r="8">
      <c r="A8" s="4" t="n">
        <v>2021</v>
      </c>
      <c r="B8" s="4" t="inlineStr">
        <is>
          <t>Taxes other than property +$4.22M; transfers in +$3.12M</t>
        </is>
      </c>
      <c r="C8" s="4" t="inlineStr">
        <is>
          <t>Sales and transfer taxes well above a pandemic-era budget; $3.05M federal relief moved from the grants fund to the General Fund.</t>
        </is>
      </c>
      <c r="D8" s="4" t="inlineStr">
        <is>
          <t>FY2021 ACFR budget schedule, transfers note</t>
        </is>
      </c>
    </row>
    <row r="9">
      <c r="A9" s="4" t="n">
        <v>2021</v>
      </c>
      <c r="B9" s="4" t="inlineStr">
        <is>
          <t>Special item -$1.32M</t>
        </is>
      </c>
      <c r="C9" s="4" t="inlineStr">
        <is>
          <t>Write-off of the General Fund advance to the Successor Agency (non-cash).</t>
        </is>
      </c>
      <c r="D9" s="4" t="inlineStr">
        <is>
          <t>FY2021 ACFR</t>
        </is>
      </c>
    </row>
    <row r="10">
      <c r="A10" s="4" t="n">
        <v>2022</v>
      </c>
      <c r="B10" s="4" t="inlineStr">
        <is>
          <t>Total revenues +$5.10M vs. final</t>
        </is>
      </c>
      <c r="C10" s="4" t="inlineStr">
        <is>
          <t>Better-than-anticipated tax revenues, licenses and permits, and charges for services; intergovernmental shortfall reflects federal relief received as transfers in (+$2.3M) instead.</t>
        </is>
      </c>
      <c r="D10" s="4" t="inlineStr">
        <is>
          <t>FY2022 ACFR MD&amp;A</t>
        </is>
      </c>
    </row>
    <row r="11">
      <c r="A11" s="4" t="n">
        <v>2023</v>
      </c>
      <c r="B11" s="4" t="inlineStr">
        <is>
          <t>Revenues +$3.92M; public safety $2.23M under final</t>
        </is>
      </c>
      <c r="C11" s="4" t="inlineStr">
        <is>
          <t>Strong tax revenues, permits and charges; salaries and benefits under budget due to high vacancies.</t>
        </is>
      </c>
      <c r="D11" s="4" t="inlineStr">
        <is>
          <t>FY2023 ACFR MD&amp;A</t>
        </is>
      </c>
    </row>
    <row r="12">
      <c r="A12" s="4" t="n">
        <v>2024</v>
      </c>
      <c r="B12" s="4" t="inlineStr">
        <is>
          <t>Final budget deficit of $6.31M vs. original surplus</t>
        </is>
      </c>
      <c r="C12" s="4" t="inlineStr">
        <is>
          <t>Council voted mid-year to use unassigned fund balance for urgent capital needs (about $6.5M one-time, incl. $1.6M purchase of 10936 San Pablo Ave and $1.1M park/facility repairs).</t>
        </is>
      </c>
      <c r="D12" s="4" t="inlineStr">
        <is>
          <t>FY2024 ACFR MD&amp;A, transfers note</t>
        </is>
      </c>
    </row>
    <row r="13">
      <c r="A13" s="4" t="n">
        <v>2024</v>
      </c>
      <c r="B13" s="4" t="inlineStr">
        <is>
          <t>Revenues +$3.44M; expenditures $2.70M under final</t>
        </is>
      </c>
      <c r="C13" s="4" t="inlineStr">
        <is>
          <t>Tax revenues, permits and charges above budget; vacancies and timing of disbursements held spending down.</t>
        </is>
      </c>
      <c r="D13" s="4" t="inlineStr">
        <is>
          <t>FY2024 ACFR MD&amp;A</t>
        </is>
      </c>
    </row>
    <row r="14">
      <c r="A14" s="4" t="n">
        <v>2025</v>
      </c>
      <c r="B14" s="4" t="inlineStr">
        <is>
          <t>Revenues +$2.44M vs. final</t>
        </is>
      </c>
      <c r="C14" s="4" t="inlineStr">
        <is>
          <t>Utility users tax +$0.51M (14%) from utility rate increases; transfer tax +$0.21M; franchise fees +$0.2M.</t>
        </is>
      </c>
      <c r="D14" s="4" t="inlineStr">
        <is>
          <t>FY2025 ACFR MD&amp;A</t>
        </is>
      </c>
    </row>
    <row r="15">
      <c r="A15" s="4" t="n">
        <v>2025</v>
      </c>
      <c r="B15" s="4" t="inlineStr">
        <is>
          <t>Public safety $0.49M over final</t>
        </is>
      </c>
      <c r="C15" s="4" t="inlineStr">
        <is>
          <t>Not explained in the FY2025 ACFR MD&amp;A; the FY2025-26 Q4 report attributes similar overruns to overtime from vacancies and new labor agreements.</t>
        </is>
      </c>
      <c r="D15" s="4" t="inlineStr">
        <is>
          <t>FY2025 ACFR schedule; FY2026 Q4 update</t>
        </is>
      </c>
    </row>
    <row r="16">
      <c r="A16" s="6" t="n">
        <v>2026</v>
      </c>
      <c r="B16" s="6" t="inlineStr">
        <is>
          <t>Fire $0.48M and Police $0.22M over amended budget (UNAUDITED)</t>
        </is>
      </c>
      <c r="C16" s="6" t="inlineStr">
        <is>
          <t>Overtime backfill for long-term absences, a paramedic shortage, and sworn vacancies (21% rate); MOUs approved after budget development.</t>
        </is>
      </c>
      <c r="D16" s="6" t="inlineStr">
        <is>
          <t>FY2025-26 Q4 update (9/15/2026)</t>
        </is>
      </c>
    </row>
    <row r="17">
      <c r="A17" s="6" t="n">
        <v>2026</v>
      </c>
      <c r="B17" s="6" t="inlineStr">
        <is>
          <t>Expenditure budget amended +$3.15M (UNAUDITED)</t>
        </is>
      </c>
      <c r="C17" s="6" t="inlineStr">
        <is>
          <t>Council amendments: purchase order roll-forward $0.29M, Council AV system $0.32M, Swim Center $0.95M, Fire MOU $0.12M, special election $0.08M, mid-year adjustments incl. Successor Agency dissolution $1.14M, districting $0.25M.</t>
        </is>
      </c>
      <c r="D17" s="6" t="inlineStr">
        <is>
          <t>FY2025-26 Q4 update, Table 5</t>
        </is>
      </c>
    </row>
    <row r="18">
      <c r="A18" s="6" t="n">
        <v>2026</v>
      </c>
      <c r="B18" s="6" t="inlineStr">
        <is>
          <t>Revenues 103% of budget (UNAUDITED)</t>
        </is>
      </c>
      <c r="C18" s="6" t="inlineStr">
        <is>
          <t>Franchise fees +40% (energy rates), transfer tax +13%, fines doubled (parking citation backlog), interest income above budget.</t>
        </is>
      </c>
      <c r="D18" s="6" t="inlineStr">
        <is>
          <t>FY2025-26 Q4 update</t>
        </is>
      </c>
    </row>
  </sheetData>
  <mergeCells count="1">
    <mergeCell ref="A2:D2"/>
  </mergeCell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N4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5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City of El Cerrito - GENERAL FUND ONLY</t>
        </is>
      </c>
      <c r="B1" s="2" t="n"/>
      <c r="C1" s="2" t="n"/>
      <c r="D1" s="2" t="n"/>
      <c r="E1" s="2" t="n"/>
      <c r="F1" s="2" t="n"/>
      <c r="G1" s="2" t="n"/>
      <c r="H1" s="2" t="n"/>
      <c r="I1" s="2" t="n"/>
      <c r="J1" s="2" t="n"/>
      <c r="K1" s="2" t="n"/>
      <c r="L1" s="2" t="n"/>
      <c r="M1" s="2" t="n"/>
      <c r="N1" s="2" t="n"/>
    </row>
    <row r="2">
      <c r="A2" s="12" t="inlineStr">
        <is>
          <t>Budget variance trend, $ (links to GF_Budget_Variance)</t>
        </is>
      </c>
      <c r="B2" s="2" t="n"/>
      <c r="C2" s="2" t="n"/>
      <c r="D2" s="2" t="n"/>
      <c r="E2" s="2" t="n"/>
      <c r="F2" s="2" t="n"/>
      <c r="G2" s="2" t="n"/>
      <c r="H2" s="2" t="n"/>
      <c r="I2" s="2" t="n"/>
      <c r="J2" s="2" t="n"/>
      <c r="K2" s="2" t="n"/>
      <c r="L2" s="2" t="n"/>
      <c r="M2" s="2" t="n"/>
      <c r="N2" s="2" t="n"/>
    </row>
    <row r="3">
      <c r="A3" s="7" t="inlineStr">
        <is>
          <t>Expenditure overrun rows: positive = actual spent MORE than budget. FY2026* is UNAUDITED and on the budget-report basis; cumulative totals are shown both with and without it.</t>
        </is>
      </c>
      <c r="B3" s="2" t="n"/>
      <c r="C3" s="2" t="n"/>
      <c r="D3" s="2" t="n"/>
      <c r="E3" s="2" t="n"/>
      <c r="F3" s="2" t="n"/>
      <c r="G3" s="2" t="n"/>
      <c r="H3" s="2" t="n"/>
      <c r="I3" s="2" t="n"/>
      <c r="J3" s="2" t="n"/>
      <c r="K3" s="2" t="n"/>
      <c r="L3" s="2" t="n"/>
      <c r="M3" s="2" t="n"/>
      <c r="N3" s="2" t="n"/>
    </row>
    <row r="4">
      <c r="A4" s="2" t="n"/>
      <c r="B4" s="2" t="n"/>
      <c r="C4" s="2" t="n"/>
      <c r="D4" s="2" t="n"/>
      <c r="E4" s="2" t="n"/>
      <c r="F4" s="2" t="n"/>
      <c r="G4" s="2" t="n"/>
      <c r="H4" s="2" t="n"/>
      <c r="I4" s="2" t="n"/>
      <c r="J4" s="2" t="n"/>
      <c r="K4" s="2" t="n"/>
      <c r="L4" s="2" t="n"/>
      <c r="M4" s="2" t="n"/>
      <c r="N4" s="2" t="n"/>
    </row>
    <row r="5">
      <c r="A5" s="2" t="n"/>
      <c r="B5" s="2" t="n"/>
      <c r="C5" s="2" t="n"/>
      <c r="D5" s="2" t="n"/>
      <c r="E5" s="2" t="n"/>
      <c r="F5" s="2" t="n"/>
      <c r="G5" s="2" t="n"/>
      <c r="H5" s="2" t="n"/>
      <c r="I5" s="2" t="n"/>
      <c r="J5" s="2" t="n"/>
      <c r="K5" s="2" t="n"/>
      <c r="L5" s="2" t="n"/>
      <c r="M5" s="2" t="n"/>
      <c r="N5" s="15" t="inlineStr">
        <is>
          <t>UNAUDITED</t>
        </is>
      </c>
    </row>
    <row r="6">
      <c r="A6" s="16" t="inlineStr">
        <is>
          <t>Fiscal year ended June 30</t>
        </is>
      </c>
      <c r="B6" s="17" t="n">
        <v>2014</v>
      </c>
      <c r="C6" s="17" t="n">
        <v>2015</v>
      </c>
      <c r="D6" s="17" t="n">
        <v>2016</v>
      </c>
      <c r="E6" s="17" t="n">
        <v>2017</v>
      </c>
      <c r="F6" s="17" t="n">
        <v>2018</v>
      </c>
      <c r="G6" s="17" t="n">
        <v>2019</v>
      </c>
      <c r="H6" s="17" t="n">
        <v>2020</v>
      </c>
      <c r="I6" s="17" t="n">
        <v>2021</v>
      </c>
      <c r="J6" s="17" t="n">
        <v>2022</v>
      </c>
      <c r="K6" s="17" t="n">
        <v>2023</v>
      </c>
      <c r="L6" s="17" t="n">
        <v>2024</v>
      </c>
      <c r="M6" s="17" t="n">
        <v>2025</v>
      </c>
      <c r="N6" s="18" t="n">
        <v>2026</v>
      </c>
    </row>
    <row r="7">
      <c r="A7" s="19" t="inlineStr">
        <is>
          <t>REVENUES</t>
        </is>
      </c>
      <c r="B7" s="20" t="n"/>
      <c r="C7" s="20" t="n"/>
      <c r="D7" s="20" t="n"/>
      <c r="E7" s="20" t="n"/>
      <c r="F7" s="20" t="n"/>
      <c r="G7" s="20" t="n"/>
      <c r="H7" s="20" t="n"/>
      <c r="I7" s="20" t="n"/>
      <c r="J7" s="20" t="n"/>
      <c r="K7" s="20" t="n"/>
      <c r="L7" s="20" t="n"/>
      <c r="M7" s="20" t="n"/>
      <c r="N7" s="20" t="n"/>
    </row>
    <row r="8">
      <c r="A8" s="13" t="inlineStr">
        <is>
          <t>Original budget</t>
        </is>
      </c>
      <c r="B8" s="36">
        <f>GF_Budget_Variance!B16</f>
        <v/>
      </c>
      <c r="C8" s="36">
        <f>GF_Budget_Variance!B54</f>
        <v/>
      </c>
      <c r="D8" s="36">
        <f>GF_Budget_Variance!B92</f>
        <v/>
      </c>
      <c r="E8" s="36">
        <f>GF_Budget_Variance!B130</f>
        <v/>
      </c>
      <c r="F8" s="36">
        <f>GF_Budget_Variance!B168</f>
        <v/>
      </c>
      <c r="G8" s="36">
        <f>GF_Budget_Variance!B206</f>
        <v/>
      </c>
      <c r="H8" s="36">
        <f>GF_Budget_Variance!B244</f>
        <v/>
      </c>
      <c r="I8" s="36">
        <f>GF_Budget_Variance!B282</f>
        <v/>
      </c>
      <c r="J8" s="36">
        <f>GF_Budget_Variance!B320</f>
        <v/>
      </c>
      <c r="K8" s="36">
        <f>GF_Budget_Variance!B358</f>
        <v/>
      </c>
      <c r="L8" s="36">
        <f>GF_Budget_Variance!B396</f>
        <v/>
      </c>
      <c r="M8" s="36">
        <f>GF_Budget_Variance!B434</f>
        <v/>
      </c>
      <c r="N8" s="51">
        <f>GF_Budget_Variance!B472</f>
        <v/>
      </c>
    </row>
    <row r="9">
      <c r="A9" s="13" t="inlineStr">
        <is>
          <t>Final budget</t>
        </is>
      </c>
      <c r="B9" s="36">
        <f>GF_Budget_Variance!C16</f>
        <v/>
      </c>
      <c r="C9" s="36">
        <f>GF_Budget_Variance!C54</f>
        <v/>
      </c>
      <c r="D9" s="36">
        <f>GF_Budget_Variance!C92</f>
        <v/>
      </c>
      <c r="E9" s="36">
        <f>GF_Budget_Variance!C130</f>
        <v/>
      </c>
      <c r="F9" s="36">
        <f>GF_Budget_Variance!C168</f>
        <v/>
      </c>
      <c r="G9" s="36">
        <f>GF_Budget_Variance!C206</f>
        <v/>
      </c>
      <c r="H9" s="36">
        <f>GF_Budget_Variance!C244</f>
        <v/>
      </c>
      <c r="I9" s="36">
        <f>GF_Budget_Variance!C282</f>
        <v/>
      </c>
      <c r="J9" s="36">
        <f>GF_Budget_Variance!C320</f>
        <v/>
      </c>
      <c r="K9" s="36">
        <f>GF_Budget_Variance!C358</f>
        <v/>
      </c>
      <c r="L9" s="36">
        <f>GF_Budget_Variance!C396</f>
        <v/>
      </c>
      <c r="M9" s="36">
        <f>GF_Budget_Variance!C434</f>
        <v/>
      </c>
      <c r="N9" s="51">
        <f>GF_Budget_Variance!C472</f>
        <v/>
      </c>
    </row>
    <row r="10">
      <c r="A10" s="13" t="inlineStr">
        <is>
          <t>Actual</t>
        </is>
      </c>
      <c r="B10" s="36">
        <f>GF_Budget_Variance!D16</f>
        <v/>
      </c>
      <c r="C10" s="36">
        <f>GF_Budget_Variance!D54</f>
        <v/>
      </c>
      <c r="D10" s="36">
        <f>GF_Budget_Variance!D92</f>
        <v/>
      </c>
      <c r="E10" s="36">
        <f>GF_Budget_Variance!D130</f>
        <v/>
      </c>
      <c r="F10" s="36">
        <f>GF_Budget_Variance!D168</f>
        <v/>
      </c>
      <c r="G10" s="36">
        <f>GF_Budget_Variance!D206</f>
        <v/>
      </c>
      <c r="H10" s="36">
        <f>GF_Budget_Variance!D244</f>
        <v/>
      </c>
      <c r="I10" s="36">
        <f>GF_Budget_Variance!D282</f>
        <v/>
      </c>
      <c r="J10" s="36">
        <f>GF_Budget_Variance!D320</f>
        <v/>
      </c>
      <c r="K10" s="36">
        <f>GF_Budget_Variance!D358</f>
        <v/>
      </c>
      <c r="L10" s="36">
        <f>GF_Budget_Variance!D396</f>
        <v/>
      </c>
      <c r="M10" s="36">
        <f>GF_Budget_Variance!D434</f>
        <v/>
      </c>
      <c r="N10" s="51">
        <f>GF_Budget_Variance!D472</f>
        <v/>
      </c>
    </row>
    <row r="11">
      <c r="A11" s="13" t="inlineStr">
        <is>
          <t>Actual - Original</t>
        </is>
      </c>
      <c r="B11" s="22">
        <f>B10-B8</f>
        <v/>
      </c>
      <c r="C11" s="22">
        <f>C10-C8</f>
        <v/>
      </c>
      <c r="D11" s="22">
        <f>D10-D8</f>
        <v/>
      </c>
      <c r="E11" s="22">
        <f>E10-E8</f>
        <v/>
      </c>
      <c r="F11" s="22">
        <f>F10-F8</f>
        <v/>
      </c>
      <c r="G11" s="22">
        <f>G10-G8</f>
        <v/>
      </c>
      <c r="H11" s="22">
        <f>H10-H8</f>
        <v/>
      </c>
      <c r="I11" s="22">
        <f>I10-I8</f>
        <v/>
      </c>
      <c r="J11" s="22">
        <f>J10-J8</f>
        <v/>
      </c>
      <c r="K11" s="22">
        <f>K10-K8</f>
        <v/>
      </c>
      <c r="L11" s="22">
        <f>L10-L8</f>
        <v/>
      </c>
      <c r="M11" s="22">
        <f>M10-M8</f>
        <v/>
      </c>
      <c r="N11" s="23">
        <f>N10-N8</f>
        <v/>
      </c>
    </row>
    <row r="12">
      <c r="A12" s="2" t="n"/>
      <c r="B12" s="2" t="n"/>
      <c r="C12" s="2" t="n"/>
      <c r="D12" s="2" t="n"/>
      <c r="E12" s="2" t="n"/>
      <c r="F12" s="2" t="n"/>
      <c r="G12" s="2" t="n"/>
      <c r="H12" s="2" t="n"/>
      <c r="I12" s="2" t="n"/>
      <c r="J12" s="2" t="n"/>
      <c r="K12" s="2" t="n"/>
      <c r="L12" s="2" t="n"/>
      <c r="M12" s="2" t="n"/>
      <c r="N12" s="2" t="n"/>
    </row>
    <row r="13">
      <c r="A13" s="19" t="inlineStr">
        <is>
          <t>EXPENDITURES</t>
        </is>
      </c>
      <c r="B13" s="20" t="n"/>
      <c r="C13" s="20" t="n"/>
      <c r="D13" s="20" t="n"/>
      <c r="E13" s="20" t="n"/>
      <c r="F13" s="20" t="n"/>
      <c r="G13" s="20" t="n"/>
      <c r="H13" s="20" t="n"/>
      <c r="I13" s="20" t="n"/>
      <c r="J13" s="20" t="n"/>
      <c r="K13" s="20" t="n"/>
      <c r="L13" s="20" t="n"/>
      <c r="M13" s="20" t="n"/>
      <c r="N13" s="20" t="n"/>
    </row>
    <row r="14">
      <c r="A14" s="13" t="inlineStr">
        <is>
          <t>Original budget</t>
        </is>
      </c>
      <c r="B14" s="36">
        <f>GF_Budget_Variance!B31</f>
        <v/>
      </c>
      <c r="C14" s="36">
        <f>GF_Budget_Variance!B69</f>
        <v/>
      </c>
      <c r="D14" s="36">
        <f>GF_Budget_Variance!B107</f>
        <v/>
      </c>
      <c r="E14" s="36">
        <f>GF_Budget_Variance!B145</f>
        <v/>
      </c>
      <c r="F14" s="36">
        <f>GF_Budget_Variance!B183</f>
        <v/>
      </c>
      <c r="G14" s="36">
        <f>GF_Budget_Variance!B221</f>
        <v/>
      </c>
      <c r="H14" s="36">
        <f>GF_Budget_Variance!B259</f>
        <v/>
      </c>
      <c r="I14" s="36">
        <f>GF_Budget_Variance!B297</f>
        <v/>
      </c>
      <c r="J14" s="36">
        <f>GF_Budget_Variance!B335</f>
        <v/>
      </c>
      <c r="K14" s="36">
        <f>GF_Budget_Variance!B373</f>
        <v/>
      </c>
      <c r="L14" s="36">
        <f>GF_Budget_Variance!B411</f>
        <v/>
      </c>
      <c r="M14" s="36">
        <f>GF_Budget_Variance!B449</f>
        <v/>
      </c>
      <c r="N14" s="51">
        <f>GF_Budget_Variance!B487</f>
        <v/>
      </c>
    </row>
    <row r="15">
      <c r="A15" s="13" t="inlineStr">
        <is>
          <t>Budget amendments (Final - Original)</t>
        </is>
      </c>
      <c r="B15" s="36">
        <f>GF_Budget_Variance!E31</f>
        <v/>
      </c>
      <c r="C15" s="36">
        <f>GF_Budget_Variance!E69</f>
        <v/>
      </c>
      <c r="D15" s="36">
        <f>GF_Budget_Variance!E107</f>
        <v/>
      </c>
      <c r="E15" s="36">
        <f>GF_Budget_Variance!E145</f>
        <v/>
      </c>
      <c r="F15" s="36">
        <f>GF_Budget_Variance!E183</f>
        <v/>
      </c>
      <c r="G15" s="36">
        <f>GF_Budget_Variance!E221</f>
        <v/>
      </c>
      <c r="H15" s="36">
        <f>GF_Budget_Variance!E259</f>
        <v/>
      </c>
      <c r="I15" s="36">
        <f>GF_Budget_Variance!E297</f>
        <v/>
      </c>
      <c r="J15" s="36">
        <f>GF_Budget_Variance!E335</f>
        <v/>
      </c>
      <c r="K15" s="36">
        <f>GF_Budget_Variance!E373</f>
        <v/>
      </c>
      <c r="L15" s="36">
        <f>GF_Budget_Variance!E411</f>
        <v/>
      </c>
      <c r="M15" s="36">
        <f>GF_Budget_Variance!E449</f>
        <v/>
      </c>
      <c r="N15" s="51">
        <f>GF_Budget_Variance!E487</f>
        <v/>
      </c>
    </row>
    <row r="16">
      <c r="A16" s="13" t="inlineStr">
        <is>
          <t>Final budget</t>
        </is>
      </c>
      <c r="B16" s="36">
        <f>GF_Budget_Variance!C31</f>
        <v/>
      </c>
      <c r="C16" s="36">
        <f>GF_Budget_Variance!C69</f>
        <v/>
      </c>
      <c r="D16" s="36">
        <f>GF_Budget_Variance!C107</f>
        <v/>
      </c>
      <c r="E16" s="36">
        <f>GF_Budget_Variance!C145</f>
        <v/>
      </c>
      <c r="F16" s="36">
        <f>GF_Budget_Variance!C183</f>
        <v/>
      </c>
      <c r="G16" s="36">
        <f>GF_Budget_Variance!C221</f>
        <v/>
      </c>
      <c r="H16" s="36">
        <f>GF_Budget_Variance!C259</f>
        <v/>
      </c>
      <c r="I16" s="36">
        <f>GF_Budget_Variance!C297</f>
        <v/>
      </c>
      <c r="J16" s="36">
        <f>GF_Budget_Variance!C335</f>
        <v/>
      </c>
      <c r="K16" s="36">
        <f>GF_Budget_Variance!C373</f>
        <v/>
      </c>
      <c r="L16" s="36">
        <f>GF_Budget_Variance!C411</f>
        <v/>
      </c>
      <c r="M16" s="36">
        <f>GF_Budget_Variance!C449</f>
        <v/>
      </c>
      <c r="N16" s="51">
        <f>GF_Budget_Variance!C487</f>
        <v/>
      </c>
    </row>
    <row r="17">
      <c r="A17" s="13" t="inlineStr">
        <is>
          <t>Actual</t>
        </is>
      </c>
      <c r="B17" s="36">
        <f>GF_Budget_Variance!D31</f>
        <v/>
      </c>
      <c r="C17" s="36">
        <f>GF_Budget_Variance!D69</f>
        <v/>
      </c>
      <c r="D17" s="36">
        <f>GF_Budget_Variance!D107</f>
        <v/>
      </c>
      <c r="E17" s="36">
        <f>GF_Budget_Variance!D145</f>
        <v/>
      </c>
      <c r="F17" s="36">
        <f>GF_Budget_Variance!D183</f>
        <v/>
      </c>
      <c r="G17" s="36">
        <f>GF_Budget_Variance!D221</f>
        <v/>
      </c>
      <c r="H17" s="36">
        <f>GF_Budget_Variance!D259</f>
        <v/>
      </c>
      <c r="I17" s="36">
        <f>GF_Budget_Variance!D297</f>
        <v/>
      </c>
      <c r="J17" s="36">
        <f>GF_Budget_Variance!D335</f>
        <v/>
      </c>
      <c r="K17" s="36">
        <f>GF_Budget_Variance!D373</f>
        <v/>
      </c>
      <c r="L17" s="36">
        <f>GF_Budget_Variance!D411</f>
        <v/>
      </c>
      <c r="M17" s="36">
        <f>GF_Budget_Variance!D449</f>
        <v/>
      </c>
      <c r="N17" s="51">
        <f>GF_Budget_Variance!D487</f>
        <v/>
      </c>
    </row>
    <row r="18">
      <c r="A18" s="12" t="inlineStr">
        <is>
          <t>Overrun vs. Original (Actual - Original)</t>
        </is>
      </c>
      <c r="B18" s="27">
        <f>B17-B14</f>
        <v/>
      </c>
      <c r="C18" s="27">
        <f>C17-C14</f>
        <v/>
      </c>
      <c r="D18" s="27">
        <f>D17-D14</f>
        <v/>
      </c>
      <c r="E18" s="27">
        <f>E17-E14</f>
        <v/>
      </c>
      <c r="F18" s="27">
        <f>F17-F14</f>
        <v/>
      </c>
      <c r="G18" s="27">
        <f>G17-G14</f>
        <v/>
      </c>
      <c r="H18" s="27">
        <f>H17-H14</f>
        <v/>
      </c>
      <c r="I18" s="27">
        <f>I17-I14</f>
        <v/>
      </c>
      <c r="J18" s="27">
        <f>J17-J14</f>
        <v/>
      </c>
      <c r="K18" s="27">
        <f>K17-K14</f>
        <v/>
      </c>
      <c r="L18" s="27">
        <f>L17-L14</f>
        <v/>
      </c>
      <c r="M18" s="27">
        <f>M17-M14</f>
        <v/>
      </c>
      <c r="N18" s="28">
        <f>N17-N14</f>
        <v/>
      </c>
    </row>
    <row r="19">
      <c r="A19" s="13" t="inlineStr">
        <is>
          <t>Overrun vs. Final (Actual - Final)</t>
        </is>
      </c>
      <c r="B19" s="22">
        <f>B17-B16</f>
        <v/>
      </c>
      <c r="C19" s="22">
        <f>C17-C16</f>
        <v/>
      </c>
      <c r="D19" s="22">
        <f>D17-D16</f>
        <v/>
      </c>
      <c r="E19" s="22">
        <f>E17-E16</f>
        <v/>
      </c>
      <c r="F19" s="22">
        <f>F17-F16</f>
        <v/>
      </c>
      <c r="G19" s="22">
        <f>G17-G16</f>
        <v/>
      </c>
      <c r="H19" s="22">
        <f>H17-H16</f>
        <v/>
      </c>
      <c r="I19" s="22">
        <f>I17-I16</f>
        <v/>
      </c>
      <c r="J19" s="22">
        <f>J17-J16</f>
        <v/>
      </c>
      <c r="K19" s="22">
        <f>K17-K16</f>
        <v/>
      </c>
      <c r="L19" s="22">
        <f>L17-L16</f>
        <v/>
      </c>
      <c r="M19" s="22">
        <f>M17-M16</f>
        <v/>
      </c>
      <c r="N19" s="23">
        <f>N17-N16</f>
        <v/>
      </c>
    </row>
    <row r="20">
      <c r="A20" s="13" t="inlineStr">
        <is>
          <t>Overrun vs. Original %</t>
        </is>
      </c>
      <c r="B20" s="33">
        <f>IFERROR(B18/B14,0)</f>
        <v/>
      </c>
      <c r="C20" s="33">
        <f>IFERROR(C18/C14,0)</f>
        <v/>
      </c>
      <c r="D20" s="33">
        <f>IFERROR(D18/D14,0)</f>
        <v/>
      </c>
      <c r="E20" s="33">
        <f>IFERROR(E18/E14,0)</f>
        <v/>
      </c>
      <c r="F20" s="33">
        <f>IFERROR(F18/F14,0)</f>
        <v/>
      </c>
      <c r="G20" s="33">
        <f>IFERROR(G18/G14,0)</f>
        <v/>
      </c>
      <c r="H20" s="33">
        <f>IFERROR(H18/H14,0)</f>
        <v/>
      </c>
      <c r="I20" s="33">
        <f>IFERROR(I18/I14,0)</f>
        <v/>
      </c>
      <c r="J20" s="33">
        <f>IFERROR(J18/J14,0)</f>
        <v/>
      </c>
      <c r="K20" s="33">
        <f>IFERROR(K18/K14,0)</f>
        <v/>
      </c>
      <c r="L20" s="33">
        <f>IFERROR(L18/L14,0)</f>
        <v/>
      </c>
      <c r="M20" s="33">
        <f>IFERROR(M18/M14,0)</f>
        <v/>
      </c>
      <c r="N20" s="34">
        <f>IFERROR(N18/N14,0)</f>
        <v/>
      </c>
    </row>
    <row r="21">
      <c r="A21" s="13" t="inlineStr">
        <is>
          <t>Spent more than original budget? (1 = yes)</t>
        </is>
      </c>
      <c r="B21" s="59">
        <f>IF(B18&gt;0,1,0)</f>
        <v/>
      </c>
      <c r="C21" s="59">
        <f>IF(C18&gt;0,1,0)</f>
        <v/>
      </c>
      <c r="D21" s="59">
        <f>IF(D18&gt;0,1,0)</f>
        <v/>
      </c>
      <c r="E21" s="59">
        <f>IF(E18&gt;0,1,0)</f>
        <v/>
      </c>
      <c r="F21" s="59">
        <f>IF(F18&gt;0,1,0)</f>
        <v/>
      </c>
      <c r="G21" s="59">
        <f>IF(G18&gt;0,1,0)</f>
        <v/>
      </c>
      <c r="H21" s="59">
        <f>IF(H18&gt;0,1,0)</f>
        <v/>
      </c>
      <c r="I21" s="59">
        <f>IF(I18&gt;0,1,0)</f>
        <v/>
      </c>
      <c r="J21" s="59">
        <f>IF(J18&gt;0,1,0)</f>
        <v/>
      </c>
      <c r="K21" s="59">
        <f>IF(K18&gt;0,1,0)</f>
        <v/>
      </c>
      <c r="L21" s="59">
        <f>IF(L18&gt;0,1,0)</f>
        <v/>
      </c>
      <c r="M21" s="59">
        <f>IF(M18&gt;0,1,0)</f>
        <v/>
      </c>
      <c r="N21" s="60">
        <f>IF(N18&gt;0,1,0)</f>
        <v/>
      </c>
    </row>
    <row r="22">
      <c r="A22" s="2" t="n"/>
      <c r="B22" s="2" t="n"/>
      <c r="C22" s="2" t="n"/>
      <c r="D22" s="2" t="n"/>
      <c r="E22" s="2" t="n"/>
      <c r="F22" s="2" t="n"/>
      <c r="G22" s="2" t="n"/>
      <c r="H22" s="2" t="n"/>
      <c r="I22" s="2" t="n"/>
      <c r="J22" s="2" t="n"/>
      <c r="K22" s="2" t="n"/>
      <c r="L22" s="2" t="n"/>
      <c r="M22" s="2" t="n"/>
      <c r="N22" s="2" t="n"/>
    </row>
    <row r="23">
      <c r="A23" s="19" t="inlineStr">
        <is>
          <t>TRANSFERS OUT (negative = outflow)</t>
        </is>
      </c>
      <c r="B23" s="20" t="n"/>
      <c r="C23" s="20" t="n"/>
      <c r="D23" s="20" t="n"/>
      <c r="E23" s="20" t="n"/>
      <c r="F23" s="20" t="n"/>
      <c r="G23" s="20" t="n"/>
      <c r="H23" s="20" t="n"/>
      <c r="I23" s="20" t="n"/>
      <c r="J23" s="20" t="n"/>
      <c r="K23" s="20" t="n"/>
      <c r="L23" s="20" t="n"/>
      <c r="M23" s="20" t="n"/>
      <c r="N23" s="20" t="n"/>
    </row>
    <row r="24">
      <c r="A24" s="13" t="inlineStr">
        <is>
          <t>Original budget</t>
        </is>
      </c>
      <c r="B24" s="36">
        <f>GF_Budget_Variance!B34</f>
        <v/>
      </c>
      <c r="C24" s="36">
        <f>GF_Budget_Variance!B72</f>
        <v/>
      </c>
      <c r="D24" s="36">
        <f>GF_Budget_Variance!B110</f>
        <v/>
      </c>
      <c r="E24" s="36">
        <f>GF_Budget_Variance!B148</f>
        <v/>
      </c>
      <c r="F24" s="36">
        <f>GF_Budget_Variance!B186</f>
        <v/>
      </c>
      <c r="G24" s="36">
        <f>GF_Budget_Variance!B224</f>
        <v/>
      </c>
      <c r="H24" s="36">
        <f>GF_Budget_Variance!B262</f>
        <v/>
      </c>
      <c r="I24" s="36">
        <f>GF_Budget_Variance!B300</f>
        <v/>
      </c>
      <c r="J24" s="36">
        <f>GF_Budget_Variance!B338</f>
        <v/>
      </c>
      <c r="K24" s="36">
        <f>GF_Budget_Variance!B376</f>
        <v/>
      </c>
      <c r="L24" s="36">
        <f>GF_Budget_Variance!B414</f>
        <v/>
      </c>
      <c r="M24" s="36">
        <f>GF_Budget_Variance!B452</f>
        <v/>
      </c>
      <c r="N24" s="51">
        <f>GF_Budget_Variance!B490</f>
        <v/>
      </c>
    </row>
    <row r="25">
      <c r="A25" s="13" t="inlineStr">
        <is>
          <t>Actual</t>
        </is>
      </c>
      <c r="B25" s="36">
        <f>GF_Budget_Variance!D34</f>
        <v/>
      </c>
      <c r="C25" s="36">
        <f>GF_Budget_Variance!D72</f>
        <v/>
      </c>
      <c r="D25" s="36">
        <f>GF_Budget_Variance!D110</f>
        <v/>
      </c>
      <c r="E25" s="36">
        <f>GF_Budget_Variance!D148</f>
        <v/>
      </c>
      <c r="F25" s="36">
        <f>GF_Budget_Variance!D186</f>
        <v/>
      </c>
      <c r="G25" s="36">
        <f>GF_Budget_Variance!D224</f>
        <v/>
      </c>
      <c r="H25" s="36">
        <f>GF_Budget_Variance!D262</f>
        <v/>
      </c>
      <c r="I25" s="36">
        <f>GF_Budget_Variance!D300</f>
        <v/>
      </c>
      <c r="J25" s="36">
        <f>GF_Budget_Variance!D338</f>
        <v/>
      </c>
      <c r="K25" s="36">
        <f>GF_Budget_Variance!D376</f>
        <v/>
      </c>
      <c r="L25" s="36">
        <f>GF_Budget_Variance!D414</f>
        <v/>
      </c>
      <c r="M25" s="36">
        <f>GF_Budget_Variance!D452</f>
        <v/>
      </c>
      <c r="N25" s="51">
        <f>GF_Budget_Variance!D490</f>
        <v/>
      </c>
    </row>
    <row r="26">
      <c r="A26" s="13" t="inlineStr">
        <is>
          <t>Extra transfers out vs. Original</t>
        </is>
      </c>
      <c r="B26" s="22">
        <f>-(B25-B24)</f>
        <v/>
      </c>
      <c r="C26" s="22">
        <f>-(C25-C24)</f>
        <v/>
      </c>
      <c r="D26" s="22">
        <f>-(D25-D24)</f>
        <v/>
      </c>
      <c r="E26" s="22">
        <f>-(E25-E24)</f>
        <v/>
      </c>
      <c r="F26" s="22">
        <f>-(F25-F24)</f>
        <v/>
      </c>
      <c r="G26" s="22">
        <f>-(G25-G24)</f>
        <v/>
      </c>
      <c r="H26" s="22">
        <f>-(H25-H24)</f>
        <v/>
      </c>
      <c r="I26" s="22">
        <f>-(I25-I24)</f>
        <v/>
      </c>
      <c r="J26" s="22">
        <f>-(J25-J24)</f>
        <v/>
      </c>
      <c r="K26" s="22">
        <f>-(K25-K24)</f>
        <v/>
      </c>
      <c r="L26" s="22">
        <f>-(L25-L24)</f>
        <v/>
      </c>
      <c r="M26" s="22">
        <f>-(M25-M24)</f>
        <v/>
      </c>
      <c r="N26" s="23">
        <f>-(N25-N24)</f>
        <v/>
      </c>
    </row>
    <row r="27">
      <c r="A27" s="2" t="n"/>
      <c r="B27" s="2" t="n"/>
      <c r="C27" s="2" t="n"/>
      <c r="D27" s="2" t="n"/>
      <c r="E27" s="2" t="n"/>
      <c r="F27" s="2" t="n"/>
      <c r="G27" s="2" t="n"/>
      <c r="H27" s="2" t="n"/>
      <c r="I27" s="2" t="n"/>
      <c r="J27" s="2" t="n"/>
      <c r="K27" s="2" t="n"/>
      <c r="L27" s="2" t="n"/>
      <c r="M27" s="2" t="n"/>
      <c r="N27" s="2" t="n"/>
    </row>
    <row r="28">
      <c r="A28" s="19" t="inlineStr">
        <is>
          <t>NET CHANGE IN FUND BALANCE</t>
        </is>
      </c>
      <c r="B28" s="20" t="n"/>
      <c r="C28" s="20" t="n"/>
      <c r="D28" s="20" t="n"/>
      <c r="E28" s="20" t="n"/>
      <c r="F28" s="20" t="n"/>
      <c r="G28" s="20" t="n"/>
      <c r="H28" s="20" t="n"/>
      <c r="I28" s="20" t="n"/>
      <c r="J28" s="20" t="n"/>
      <c r="K28" s="20" t="n"/>
      <c r="L28" s="20" t="n"/>
      <c r="M28" s="20" t="n"/>
      <c r="N28" s="20" t="n"/>
    </row>
    <row r="29">
      <c r="A29" s="13" t="inlineStr">
        <is>
          <t>Original budget (planned)</t>
        </is>
      </c>
      <c r="B29" s="36">
        <f>GF_Budget_Variance!B40</f>
        <v/>
      </c>
      <c r="C29" s="36">
        <f>GF_Budget_Variance!B78</f>
        <v/>
      </c>
      <c r="D29" s="36">
        <f>GF_Budget_Variance!B116</f>
        <v/>
      </c>
      <c r="E29" s="36">
        <f>GF_Budget_Variance!B154</f>
        <v/>
      </c>
      <c r="F29" s="36">
        <f>GF_Budget_Variance!B192</f>
        <v/>
      </c>
      <c r="G29" s="36">
        <f>GF_Budget_Variance!B230</f>
        <v/>
      </c>
      <c r="H29" s="36">
        <f>GF_Budget_Variance!B268</f>
        <v/>
      </c>
      <c r="I29" s="36">
        <f>GF_Budget_Variance!B306</f>
        <v/>
      </c>
      <c r="J29" s="36">
        <f>GF_Budget_Variance!B344</f>
        <v/>
      </c>
      <c r="K29" s="36">
        <f>GF_Budget_Variance!B382</f>
        <v/>
      </c>
      <c r="L29" s="36">
        <f>GF_Budget_Variance!B420</f>
        <v/>
      </c>
      <c r="M29" s="36">
        <f>GF_Budget_Variance!B458</f>
        <v/>
      </c>
      <c r="N29" s="51">
        <f>GF_Budget_Variance!B496</f>
        <v/>
      </c>
    </row>
    <row r="30">
      <c r="A30" s="13" t="inlineStr">
        <is>
          <t>Final budget</t>
        </is>
      </c>
      <c r="B30" s="36">
        <f>GF_Budget_Variance!C40</f>
        <v/>
      </c>
      <c r="C30" s="36">
        <f>GF_Budget_Variance!C78</f>
        <v/>
      </c>
      <c r="D30" s="36">
        <f>GF_Budget_Variance!C116</f>
        <v/>
      </c>
      <c r="E30" s="36">
        <f>GF_Budget_Variance!C154</f>
        <v/>
      </c>
      <c r="F30" s="36">
        <f>GF_Budget_Variance!C192</f>
        <v/>
      </c>
      <c r="G30" s="36">
        <f>GF_Budget_Variance!C230</f>
        <v/>
      </c>
      <c r="H30" s="36">
        <f>GF_Budget_Variance!C268</f>
        <v/>
      </c>
      <c r="I30" s="36">
        <f>GF_Budget_Variance!C306</f>
        <v/>
      </c>
      <c r="J30" s="36">
        <f>GF_Budget_Variance!C344</f>
        <v/>
      </c>
      <c r="K30" s="36">
        <f>GF_Budget_Variance!C382</f>
        <v/>
      </c>
      <c r="L30" s="36">
        <f>GF_Budget_Variance!C420</f>
        <v/>
      </c>
      <c r="M30" s="36">
        <f>GF_Budget_Variance!C458</f>
        <v/>
      </c>
      <c r="N30" s="51">
        <f>GF_Budget_Variance!C496</f>
        <v/>
      </c>
    </row>
    <row r="31">
      <c r="A31" s="13" t="inlineStr">
        <is>
          <t>Actual</t>
        </is>
      </c>
      <c r="B31" s="36">
        <f>GF_Budget_Variance!D40</f>
        <v/>
      </c>
      <c r="C31" s="36">
        <f>GF_Budget_Variance!D78</f>
        <v/>
      </c>
      <c r="D31" s="36">
        <f>GF_Budget_Variance!D116</f>
        <v/>
      </c>
      <c r="E31" s="36">
        <f>GF_Budget_Variance!D154</f>
        <v/>
      </c>
      <c r="F31" s="36">
        <f>GF_Budget_Variance!D192</f>
        <v/>
      </c>
      <c r="G31" s="36">
        <f>GF_Budget_Variance!D230</f>
        <v/>
      </c>
      <c r="H31" s="36">
        <f>GF_Budget_Variance!D268</f>
        <v/>
      </c>
      <c r="I31" s="36">
        <f>GF_Budget_Variance!D306</f>
        <v/>
      </c>
      <c r="J31" s="36">
        <f>GF_Budget_Variance!D344</f>
        <v/>
      </c>
      <c r="K31" s="36">
        <f>GF_Budget_Variance!D382</f>
        <v/>
      </c>
      <c r="L31" s="36">
        <f>GF_Budget_Variance!D420</f>
        <v/>
      </c>
      <c r="M31" s="36">
        <f>GF_Budget_Variance!D458</f>
        <v/>
      </c>
      <c r="N31" s="51">
        <f>GF_Budget_Variance!D496</f>
        <v/>
      </c>
    </row>
    <row r="32">
      <c r="A32" s="12" t="inlineStr">
        <is>
          <t>Actual vs. original plan</t>
        </is>
      </c>
      <c r="B32" s="27">
        <f>B31-B29</f>
        <v/>
      </c>
      <c r="C32" s="27">
        <f>C31-C29</f>
        <v/>
      </c>
      <c r="D32" s="27">
        <f>D31-D29</f>
        <v/>
      </c>
      <c r="E32" s="27">
        <f>E31-E29</f>
        <v/>
      </c>
      <c r="F32" s="27">
        <f>F31-F29</f>
        <v/>
      </c>
      <c r="G32" s="27">
        <f>G31-G29</f>
        <v/>
      </c>
      <c r="H32" s="27">
        <f>H31-H29</f>
        <v/>
      </c>
      <c r="I32" s="27">
        <f>I31-I29</f>
        <v/>
      </c>
      <c r="J32" s="27">
        <f>J31-J29</f>
        <v/>
      </c>
      <c r="K32" s="27">
        <f>K31-K29</f>
        <v/>
      </c>
      <c r="L32" s="27">
        <f>L31-L29</f>
        <v/>
      </c>
      <c r="M32" s="27">
        <f>M31-M29</f>
        <v/>
      </c>
      <c r="N32" s="28">
        <f>N31-N29</f>
        <v/>
      </c>
    </row>
    <row r="33">
      <c r="A33" s="2" t="n"/>
      <c r="B33" s="2" t="n"/>
      <c r="C33" s="2" t="n"/>
      <c r="D33" s="2" t="n"/>
      <c r="E33" s="2" t="n"/>
      <c r="F33" s="2" t="n"/>
      <c r="G33" s="2" t="n"/>
      <c r="H33" s="2" t="n"/>
      <c r="I33" s="2" t="n"/>
      <c r="J33" s="2" t="n"/>
      <c r="K33" s="2" t="n"/>
      <c r="L33" s="2" t="n"/>
      <c r="M33" s="2" t="n"/>
      <c r="N33" s="2" t="n"/>
    </row>
    <row r="34">
      <c r="A34" s="19" t="inlineStr">
        <is>
          <t>CUMULATIVE</t>
        </is>
      </c>
      <c r="B34" s="20" t="n"/>
      <c r="C34" s="20" t="n"/>
      <c r="D34" s="20" t="n"/>
      <c r="E34" s="20" t="n"/>
      <c r="F34" s="20" t="n"/>
      <c r="G34" s="20" t="n"/>
      <c r="H34" s="20" t="n"/>
      <c r="I34" s="20" t="n"/>
      <c r="J34" s="20" t="n"/>
      <c r="K34" s="20" t="n"/>
      <c r="L34" s="20" t="n"/>
      <c r="M34" s="20" t="n"/>
      <c r="N34" s="20" t="n"/>
    </row>
    <row r="35" ht="28" customHeight="1">
      <c r="A35" s="2" t="n"/>
      <c r="B35" s="61" t="inlineStr">
        <is>
          <t>FY2014-FY2025 (audited)</t>
        </is>
      </c>
      <c r="C35" s="62" t="inlineStr">
        <is>
          <t>FY2014-FY2026 (incl. unaudited)</t>
        </is>
      </c>
      <c r="D35" s="2" t="n"/>
      <c r="E35" s="2" t="n"/>
      <c r="F35" s="2" t="n"/>
      <c r="G35" s="2" t="n"/>
      <c r="H35" s="2" t="n"/>
      <c r="I35" s="2" t="n"/>
      <c r="J35" s="2" t="n"/>
      <c r="K35" s="2" t="n"/>
      <c r="L35" s="2" t="n"/>
      <c r="M35" s="2" t="n"/>
      <c r="N35" s="2" t="n"/>
    </row>
    <row r="36">
      <c r="A36" s="13" t="inlineStr">
        <is>
          <t>Revenue: Actual - Original</t>
        </is>
      </c>
      <c r="B36" s="27">
        <f>SUM(B11:M11)</f>
        <v/>
      </c>
      <c r="C36" s="28">
        <f>SUM(B11:N11)</f>
        <v/>
      </c>
      <c r="D36" s="2" t="n"/>
      <c r="E36" s="2" t="n"/>
      <c r="F36" s="2" t="n"/>
      <c r="G36" s="2" t="n"/>
      <c r="H36" s="2" t="n"/>
      <c r="I36" s="2" t="n"/>
      <c r="J36" s="2" t="n"/>
      <c r="K36" s="2" t="n"/>
      <c r="L36" s="2" t="n"/>
      <c r="M36" s="2" t="n"/>
      <c r="N36" s="2" t="n"/>
    </row>
    <row r="37">
      <c r="A37" s="13" t="inlineStr">
        <is>
          <t>Expenditure overrun vs. Original</t>
        </is>
      </c>
      <c r="B37" s="27">
        <f>SUM(B18:M18)</f>
        <v/>
      </c>
      <c r="C37" s="28">
        <f>SUM(B18:N18)</f>
        <v/>
      </c>
      <c r="D37" s="2" t="n"/>
      <c r="E37" s="2" t="n"/>
      <c r="F37" s="2" t="n"/>
      <c r="G37" s="2" t="n"/>
      <c r="H37" s="2" t="n"/>
      <c r="I37" s="2" t="n"/>
      <c r="J37" s="2" t="n"/>
      <c r="K37" s="2" t="n"/>
      <c r="L37" s="2" t="n"/>
      <c r="M37" s="2" t="n"/>
      <c r="N37" s="2" t="n"/>
    </row>
    <row r="38">
      <c r="A38" s="13" t="inlineStr">
        <is>
          <t>Expenditure overrun vs. Final</t>
        </is>
      </c>
      <c r="B38" s="27">
        <f>SUM(B19:M19)</f>
        <v/>
      </c>
      <c r="C38" s="28">
        <f>SUM(B19:N19)</f>
        <v/>
      </c>
      <c r="D38" s="2" t="n"/>
      <c r="E38" s="2" t="n"/>
      <c r="F38" s="2" t="n"/>
      <c r="G38" s="2" t="n"/>
      <c r="H38" s="2" t="n"/>
      <c r="I38" s="2" t="n"/>
      <c r="J38" s="2" t="n"/>
      <c r="K38" s="2" t="n"/>
      <c r="L38" s="2" t="n"/>
      <c r="M38" s="2" t="n"/>
      <c r="N38" s="2" t="n"/>
    </row>
    <row r="39">
      <c r="A39" s="13" t="inlineStr">
        <is>
          <t>Extra transfers out vs. Original</t>
        </is>
      </c>
      <c r="B39" s="27">
        <f>SUM(B26:M26)</f>
        <v/>
      </c>
      <c r="C39" s="28">
        <f>SUM(B26:N26)</f>
        <v/>
      </c>
      <c r="D39" s="2" t="n"/>
      <c r="E39" s="2" t="n"/>
      <c r="F39" s="2" t="n"/>
      <c r="G39" s="2" t="n"/>
      <c r="H39" s="2" t="n"/>
      <c r="I39" s="2" t="n"/>
      <c r="J39" s="2" t="n"/>
      <c r="K39" s="2" t="n"/>
      <c r="L39" s="2" t="n"/>
      <c r="M39" s="2" t="n"/>
      <c r="N39" s="2" t="n"/>
    </row>
    <row r="40">
      <c r="A40" s="13" t="inlineStr">
        <is>
          <t>Net change: actual vs. original plan</t>
        </is>
      </c>
      <c r="B40" s="27">
        <f>SUM(B32:M32)</f>
        <v/>
      </c>
      <c r="C40" s="28">
        <f>SUM(B32:N32)</f>
        <v/>
      </c>
      <c r="D40" s="2" t="n"/>
      <c r="E40" s="2" t="n"/>
      <c r="F40" s="2" t="n"/>
      <c r="G40" s="2" t="n"/>
      <c r="H40" s="2" t="n"/>
      <c r="I40" s="2" t="n"/>
      <c r="J40" s="2" t="n"/>
      <c r="K40" s="2" t="n"/>
      <c r="L40" s="2" t="n"/>
      <c r="M40" s="2" t="n"/>
      <c r="N40" s="2" t="n"/>
    </row>
    <row r="41">
      <c r="A41" s="13" t="inlineStr">
        <is>
          <t>Years spending exceeded original budget</t>
        </is>
      </c>
      <c r="B41" s="63">
        <f>SUM(B21:M21)</f>
        <v/>
      </c>
      <c r="C41" s="64">
        <f>SUM(B21:N21)</f>
        <v/>
      </c>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13" t="inlineStr">
        <is>
          <t>Check: GF_Budget_Variance net change vs. GF_Operating_Statement (should be 0)</t>
        </is>
      </c>
      <c r="B43" s="65">
        <f>B31-GF_Operating_Statement!B48</f>
        <v/>
      </c>
      <c r="C43" s="65">
        <f>C31-GF_Operating_Statement!C48</f>
        <v/>
      </c>
      <c r="D43" s="65">
        <f>D31-GF_Operating_Statement!D48</f>
        <v/>
      </c>
      <c r="E43" s="65">
        <f>E31-GF_Operating_Statement!E48</f>
        <v/>
      </c>
      <c r="F43" s="65">
        <f>F31-GF_Operating_Statement!F48</f>
        <v/>
      </c>
      <c r="G43" s="65">
        <f>G31-GF_Operating_Statement!G48</f>
        <v/>
      </c>
      <c r="H43" s="65">
        <f>H31-GF_Operating_Statement!H48</f>
        <v/>
      </c>
      <c r="I43" s="65">
        <f>I31-GF_Operating_Statement!I48</f>
        <v/>
      </c>
      <c r="J43" s="65">
        <f>J31-GF_Operating_Statement!J48</f>
        <v/>
      </c>
      <c r="K43" s="65">
        <f>K31-GF_Operating_Statement!K48</f>
        <v/>
      </c>
      <c r="L43" s="65">
        <f>L31-GF_Operating_Statement!L48</f>
        <v/>
      </c>
      <c r="M43" s="65">
        <f>M31-GF_Operating_Statement!M48</f>
        <v/>
      </c>
      <c r="N43" s="65">
        <f>N31-GF_Operating_Statement!N48</f>
        <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5623"/>
    <outlinePr summaryBelow="1" summaryRight="1"/>
    <pageSetUpPr/>
  </sheetPr>
  <dimension ref="A1:M4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7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BRIDGE: General Fund -&gt; Citywide</t>
        </is>
      </c>
      <c r="B1" s="2" t="n"/>
      <c r="C1" s="2" t="n"/>
      <c r="D1" s="2" t="n"/>
      <c r="E1" s="2" t="n"/>
      <c r="F1" s="2" t="n"/>
      <c r="G1" s="2" t="n"/>
      <c r="H1" s="2" t="n"/>
      <c r="I1" s="2" t="n"/>
      <c r="J1" s="2" t="n"/>
      <c r="K1" s="2" t="n"/>
      <c r="L1" s="2" t="n"/>
      <c r="M1" s="2" t="n"/>
    </row>
    <row r="2">
      <c r="A2" s="12" t="inlineStr">
        <is>
          <t>From General Fund fund balance to governmental-activities net position, June 30, $</t>
        </is>
      </c>
      <c r="B2" s="2" t="n"/>
      <c r="C2" s="2" t="n"/>
      <c r="D2" s="2" t="n"/>
      <c r="E2" s="2" t="n"/>
      <c r="F2" s="2" t="n"/>
      <c r="G2" s="2" t="n"/>
      <c r="H2" s="2" t="n"/>
      <c r="I2" s="2" t="n"/>
      <c r="J2" s="2" t="n"/>
      <c r="K2" s="2" t="n"/>
      <c r="L2" s="2" t="n"/>
      <c r="M2" s="2" t="n"/>
    </row>
    <row r="3">
      <c r="A3" s="7" t="inlineStr">
        <is>
          <t>Shows what the General Fund statements leave out. Lines link to GF_Balance_Sheet and CW_Net_Position; 'Other reconciling items' is computed as the remainder (internal service fund, unavailable revenue, interest payable, refunding deferrals, etc.).</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2" t="inlineStr">
        <is>
          <t>General Fund - total fund balance</t>
        </is>
      </c>
      <c r="B7" s="68">
        <f>GF_Balance_Sheet!B40</f>
        <v/>
      </c>
      <c r="C7" s="68">
        <f>GF_Balance_Sheet!C40</f>
        <v/>
      </c>
      <c r="D7" s="68">
        <f>GF_Balance_Sheet!D40</f>
        <v/>
      </c>
      <c r="E7" s="68">
        <f>GF_Balance_Sheet!E40</f>
        <v/>
      </c>
      <c r="F7" s="68">
        <f>GF_Balance_Sheet!F40</f>
        <v/>
      </c>
      <c r="G7" s="68">
        <f>GF_Balance_Sheet!G40</f>
        <v/>
      </c>
      <c r="H7" s="68">
        <f>GF_Balance_Sheet!H40</f>
        <v/>
      </c>
      <c r="I7" s="68">
        <f>GF_Balance_Sheet!I40</f>
        <v/>
      </c>
      <c r="J7" s="68">
        <f>GF_Balance_Sheet!J40</f>
        <v/>
      </c>
      <c r="K7" s="68">
        <f>GF_Balance_Sheet!K40</f>
        <v/>
      </c>
      <c r="L7" s="68">
        <f>GF_Balance_Sheet!L40</f>
        <v/>
      </c>
      <c r="M7" s="68">
        <f>GF_Balance_Sheet!M40</f>
        <v/>
      </c>
    </row>
    <row r="8">
      <c r="A8" s="13" t="inlineStr">
        <is>
          <t>Total fund balance, all governmental funds (per ACFR)</t>
        </is>
      </c>
      <c r="B8" s="29" t="n">
        <v>8455545</v>
      </c>
      <c r="C8" s="29" t="n">
        <v>8882873</v>
      </c>
      <c r="D8" s="29" t="n">
        <v>10753378</v>
      </c>
      <c r="E8" s="29" t="n">
        <v>15624337</v>
      </c>
      <c r="F8" s="29" t="n">
        <v>14797126</v>
      </c>
      <c r="G8" s="29" t="n">
        <v>12751823</v>
      </c>
      <c r="H8" s="29" t="n">
        <v>14089516</v>
      </c>
      <c r="I8" s="29" t="n">
        <v>21878516</v>
      </c>
      <c r="J8" s="29" t="n">
        <v>31509231</v>
      </c>
      <c r="K8" s="29" t="n">
        <v>39222668</v>
      </c>
      <c r="L8" s="29" t="n">
        <v>41682246</v>
      </c>
      <c r="M8" s="29" t="n">
        <v>43970819</v>
      </c>
    </row>
    <row r="9">
      <c r="A9" s="21" t="inlineStr">
        <is>
          <t>Plus: other governmental funds (special revenue, capital projects, debt service)</t>
        </is>
      </c>
      <c r="B9" s="22">
        <f>B8-B7</f>
        <v/>
      </c>
      <c r="C9" s="22">
        <f>C8-C7</f>
        <v/>
      </c>
      <c r="D9" s="22">
        <f>D8-D7</f>
        <v/>
      </c>
      <c r="E9" s="22">
        <f>E8-E7</f>
        <v/>
      </c>
      <c r="F9" s="22">
        <f>F8-F7</f>
        <v/>
      </c>
      <c r="G9" s="22">
        <f>G8-G7</f>
        <v/>
      </c>
      <c r="H9" s="22">
        <f>H8-H7</f>
        <v/>
      </c>
      <c r="I9" s="22">
        <f>I8-I7</f>
        <v/>
      </c>
      <c r="J9" s="22">
        <f>J8-J7</f>
        <v/>
      </c>
      <c r="K9" s="22">
        <f>K8-K7</f>
        <v/>
      </c>
      <c r="L9" s="22">
        <f>L8-L7</f>
        <v/>
      </c>
      <c r="M9" s="22">
        <f>M8-M7</f>
        <v/>
      </c>
    </row>
    <row r="10">
      <c r="A10" s="12" t="inlineStr">
        <is>
          <t>Equals: total governmental funds fund balance</t>
        </is>
      </c>
      <c r="B10" s="24">
        <f>B7+B9</f>
        <v/>
      </c>
      <c r="C10" s="24">
        <f>C7+C9</f>
        <v/>
      </c>
      <c r="D10" s="24">
        <f>D7+D9</f>
        <v/>
      </c>
      <c r="E10" s="24">
        <f>E7+E9</f>
        <v/>
      </c>
      <c r="F10" s="24">
        <f>F7+F9</f>
        <v/>
      </c>
      <c r="G10" s="24">
        <f>G7+G9</f>
        <v/>
      </c>
      <c r="H10" s="24">
        <f>H7+H9</f>
        <v/>
      </c>
      <c r="I10" s="24">
        <f>I7+I9</f>
        <v/>
      </c>
      <c r="J10" s="24">
        <f>J7+J9</f>
        <v/>
      </c>
      <c r="K10" s="24">
        <f>K7+K9</f>
        <v/>
      </c>
      <c r="L10" s="24">
        <f>L7+L9</f>
        <v/>
      </c>
      <c r="M10" s="24">
        <f>M7+M9</f>
        <v/>
      </c>
    </row>
    <row r="11">
      <c r="A11" s="2" t="n"/>
      <c r="B11" s="2" t="n"/>
      <c r="C11" s="2" t="n"/>
      <c r="D11" s="2" t="n"/>
      <c r="E11" s="2" t="n"/>
      <c r="F11" s="2" t="n"/>
      <c r="G11" s="2" t="n"/>
      <c r="H11" s="2" t="n"/>
      <c r="I11" s="2" t="n"/>
      <c r="J11" s="2" t="n"/>
      <c r="K11" s="2" t="n"/>
      <c r="L11" s="2" t="n"/>
      <c r="M11" s="2" t="n"/>
    </row>
    <row r="12">
      <c r="A12" s="19" t="inlineStr">
        <is>
          <t>ITEMS NOT IN THE FUND STATEMENTS</t>
        </is>
      </c>
      <c r="B12" s="20" t="n"/>
      <c r="C12" s="20" t="n"/>
      <c r="D12" s="20" t="n"/>
      <c r="E12" s="20" t="n"/>
      <c r="F12" s="20" t="n"/>
      <c r="G12" s="20" t="n"/>
      <c r="H12" s="20" t="n"/>
      <c r="I12" s="20" t="n"/>
      <c r="J12" s="20" t="n"/>
      <c r="K12" s="20" t="n"/>
      <c r="L12" s="20" t="n"/>
      <c r="M12" s="20" t="n"/>
    </row>
    <row r="13">
      <c r="A13" s="21" t="inlineStr">
        <is>
          <t>Plus: capital assets, net (buildings, equipment, infrastructure, land)</t>
        </is>
      </c>
      <c r="B13" s="36">
        <f>CW_Net_Position!B43</f>
        <v/>
      </c>
      <c r="C13" s="36">
        <f>CW_Net_Position!C43</f>
        <v/>
      </c>
      <c r="D13" s="36">
        <f>CW_Net_Position!D43</f>
        <v/>
      </c>
      <c r="E13" s="36">
        <f>CW_Net_Position!E43</f>
        <v/>
      </c>
      <c r="F13" s="36">
        <f>CW_Net_Position!F43</f>
        <v/>
      </c>
      <c r="G13" s="36">
        <f>CW_Net_Position!G43</f>
        <v/>
      </c>
      <c r="H13" s="36">
        <f>CW_Net_Position!H43</f>
        <v/>
      </c>
      <c r="I13" s="36">
        <f>CW_Net_Position!I43</f>
        <v/>
      </c>
      <c r="J13" s="36">
        <f>CW_Net_Position!J43</f>
        <v/>
      </c>
      <c r="K13" s="36">
        <f>CW_Net_Position!K43</f>
        <v/>
      </c>
      <c r="L13" s="36">
        <f>CW_Net_Position!L43</f>
        <v/>
      </c>
      <c r="M13" s="36">
        <f>CW_Net_Position!M43</f>
        <v/>
      </c>
    </row>
    <row r="14">
      <c r="A14" s="21" t="inlineStr">
        <is>
          <t>Less: long-term debt</t>
        </is>
      </c>
      <c r="B14" s="36">
        <f>-CW_Net_Position!B26</f>
        <v/>
      </c>
      <c r="C14" s="36">
        <f>-CW_Net_Position!C26</f>
        <v/>
      </c>
      <c r="D14" s="36">
        <f>-CW_Net_Position!D26</f>
        <v/>
      </c>
      <c r="E14" s="36">
        <f>-CW_Net_Position!E26</f>
        <v/>
      </c>
      <c r="F14" s="36">
        <f>-CW_Net_Position!F26</f>
        <v/>
      </c>
      <c r="G14" s="36">
        <f>-CW_Net_Position!G26</f>
        <v/>
      </c>
      <c r="H14" s="36">
        <f>-CW_Net_Position!H26</f>
        <v/>
      </c>
      <c r="I14" s="36">
        <f>-CW_Net_Position!I26</f>
        <v/>
      </c>
      <c r="J14" s="36">
        <f>-CW_Net_Position!J26</f>
        <v/>
      </c>
      <c r="K14" s="36">
        <f>-CW_Net_Position!K26</f>
        <v/>
      </c>
      <c r="L14" s="36">
        <f>-CW_Net_Position!L26</f>
        <v/>
      </c>
      <c r="M14" s="36">
        <f>-CW_Net_Position!M26</f>
        <v/>
      </c>
    </row>
    <row r="15">
      <c r="A15" s="21" t="inlineStr">
        <is>
          <t>Less: compensated absences and claims</t>
        </is>
      </c>
      <c r="B15" s="36">
        <f>-(CW_Net_Position!B24+CW_Net_Position!B25)</f>
        <v/>
      </c>
      <c r="C15" s="36">
        <f>-(CW_Net_Position!C24+CW_Net_Position!C25)</f>
        <v/>
      </c>
      <c r="D15" s="36">
        <f>-(CW_Net_Position!D24+CW_Net_Position!D25)</f>
        <v/>
      </c>
      <c r="E15" s="36">
        <f>-(CW_Net_Position!E24+CW_Net_Position!E25)</f>
        <v/>
      </c>
      <c r="F15" s="36">
        <f>-(CW_Net_Position!F24+CW_Net_Position!F25)</f>
        <v/>
      </c>
      <c r="G15" s="36">
        <f>-(CW_Net_Position!G24+CW_Net_Position!G25)</f>
        <v/>
      </c>
      <c r="H15" s="36">
        <f>-(CW_Net_Position!H24+CW_Net_Position!H25)</f>
        <v/>
      </c>
      <c r="I15" s="36">
        <f>-(CW_Net_Position!I24+CW_Net_Position!I25)</f>
        <v/>
      </c>
      <c r="J15" s="36">
        <f>-(CW_Net_Position!J24+CW_Net_Position!J25)</f>
        <v/>
      </c>
      <c r="K15" s="36">
        <f>-(CW_Net_Position!K24+CW_Net_Position!K25)</f>
        <v/>
      </c>
      <c r="L15" s="36">
        <f>-(CW_Net_Position!L24+CW_Net_Position!L25)</f>
        <v/>
      </c>
      <c r="M15" s="36">
        <f>-(CW_Net_Position!M24+CW_Net_Position!M25)</f>
        <v/>
      </c>
    </row>
    <row r="16">
      <c r="A16" s="21" t="inlineStr">
        <is>
          <t>Less: net pension and OPEB liability</t>
        </is>
      </c>
      <c r="B16" s="36">
        <f>-(CW_Net_Position!B28+CW_Net_Position!B27)</f>
        <v/>
      </c>
      <c r="C16" s="36">
        <f>-(CW_Net_Position!C28+CW_Net_Position!C27)</f>
        <v/>
      </c>
      <c r="D16" s="36">
        <f>-(CW_Net_Position!D28+CW_Net_Position!D27)</f>
        <v/>
      </c>
      <c r="E16" s="36">
        <f>-(CW_Net_Position!E28+CW_Net_Position!E27)</f>
        <v/>
      </c>
      <c r="F16" s="36">
        <f>-(CW_Net_Position!F28+CW_Net_Position!F27)</f>
        <v/>
      </c>
      <c r="G16" s="36">
        <f>-(CW_Net_Position!G28+CW_Net_Position!G27)</f>
        <v/>
      </c>
      <c r="H16" s="36">
        <f>-(CW_Net_Position!H28+CW_Net_Position!H27)</f>
        <v/>
      </c>
      <c r="I16" s="36">
        <f>-(CW_Net_Position!I28+CW_Net_Position!I27)</f>
        <v/>
      </c>
      <c r="J16" s="36">
        <f>-(CW_Net_Position!J28+CW_Net_Position!J27)</f>
        <v/>
      </c>
      <c r="K16" s="36">
        <f>-(CW_Net_Position!K28+CW_Net_Position!K27)</f>
        <v/>
      </c>
      <c r="L16" s="36">
        <f>-(CW_Net_Position!L28+CW_Net_Position!L27)</f>
        <v/>
      </c>
      <c r="M16" s="36">
        <f>-(CW_Net_Position!M28+CW_Net_Position!M27)</f>
        <v/>
      </c>
    </row>
    <row r="17">
      <c r="A17" s="21" t="inlineStr">
        <is>
          <t>Plus: pension/OPEB deferred outflows less deferred inflows</t>
        </is>
      </c>
      <c r="B17" s="36">
        <f>CW_Net_Position!B17-CW_Net_Position!B32</f>
        <v/>
      </c>
      <c r="C17" s="36">
        <f>CW_Net_Position!C17-CW_Net_Position!C32</f>
        <v/>
      </c>
      <c r="D17" s="36">
        <f>CW_Net_Position!D17-CW_Net_Position!D32</f>
        <v/>
      </c>
      <c r="E17" s="36">
        <f>CW_Net_Position!E17-CW_Net_Position!E32</f>
        <v/>
      </c>
      <c r="F17" s="36">
        <f>CW_Net_Position!F17-CW_Net_Position!F32</f>
        <v/>
      </c>
      <c r="G17" s="36">
        <f>CW_Net_Position!G17-CW_Net_Position!G32</f>
        <v/>
      </c>
      <c r="H17" s="36">
        <f>CW_Net_Position!H17-CW_Net_Position!H32</f>
        <v/>
      </c>
      <c r="I17" s="36">
        <f>CW_Net_Position!I17-CW_Net_Position!I32</f>
        <v/>
      </c>
      <c r="J17" s="36">
        <f>CW_Net_Position!J17-CW_Net_Position!J32</f>
        <v/>
      </c>
      <c r="K17" s="36">
        <f>CW_Net_Position!K17-CW_Net_Position!K32</f>
        <v/>
      </c>
      <c r="L17" s="36">
        <f>CW_Net_Position!L17-CW_Net_Position!L32</f>
        <v/>
      </c>
      <c r="M17" s="36">
        <f>CW_Net_Position!M17-CW_Net_Position!M32</f>
        <v/>
      </c>
    </row>
    <row r="18">
      <c r="A18" s="21" t="inlineStr">
        <is>
          <t>Other reconciling items (computed remainder)</t>
        </is>
      </c>
      <c r="B18" s="22">
        <f>B20-B10-SUM(B13:B17)</f>
        <v/>
      </c>
      <c r="C18" s="22">
        <f>C20-C10-SUM(C13:C17)</f>
        <v/>
      </c>
      <c r="D18" s="22">
        <f>D20-D10-SUM(D13:D17)</f>
        <v/>
      </c>
      <c r="E18" s="22">
        <f>E20-E10-SUM(E13:E17)</f>
        <v/>
      </c>
      <c r="F18" s="22">
        <f>F20-F10-SUM(F13:F17)</f>
        <v/>
      </c>
      <c r="G18" s="22">
        <f>G20-G10-SUM(G13:G17)</f>
        <v/>
      </c>
      <c r="H18" s="22">
        <f>H20-H10-SUM(H13:H17)</f>
        <v/>
      </c>
      <c r="I18" s="22">
        <f>I20-I10-SUM(I13:I17)</f>
        <v/>
      </c>
      <c r="J18" s="22">
        <f>J20-J10-SUM(J13:J17)</f>
        <v/>
      </c>
      <c r="K18" s="22">
        <f>K20-K10-SUM(K13:K17)</f>
        <v/>
      </c>
      <c r="L18" s="22">
        <f>L20-L10-SUM(L13:L17)</f>
        <v/>
      </c>
      <c r="M18" s="22">
        <f>M20-M10-SUM(M13:M17)</f>
        <v/>
      </c>
    </row>
    <row r="19">
      <c r="A19" s="2" t="n"/>
      <c r="B19" s="2" t="n"/>
      <c r="C19" s="2" t="n"/>
      <c r="D19" s="2" t="n"/>
      <c r="E19" s="2" t="n"/>
      <c r="F19" s="2" t="n"/>
      <c r="G19" s="2" t="n"/>
      <c r="H19" s="2" t="n"/>
      <c r="I19" s="2" t="n"/>
      <c r="J19" s="2" t="n"/>
      <c r="K19" s="2" t="n"/>
      <c r="L19" s="2" t="n"/>
      <c r="M19" s="2" t="n"/>
    </row>
    <row r="20">
      <c r="A20" s="12" t="inlineStr">
        <is>
          <t>Equals: net position, governmental activities (citywide)</t>
        </is>
      </c>
      <c r="B20" s="69">
        <f>CW_Net_Position!B37</f>
        <v/>
      </c>
      <c r="C20" s="69">
        <f>CW_Net_Position!C37</f>
        <v/>
      </c>
      <c r="D20" s="69">
        <f>CW_Net_Position!D37</f>
        <v/>
      </c>
      <c r="E20" s="69">
        <f>CW_Net_Position!E37</f>
        <v/>
      </c>
      <c r="F20" s="69">
        <f>CW_Net_Position!F37</f>
        <v/>
      </c>
      <c r="G20" s="69">
        <f>CW_Net_Position!G37</f>
        <v/>
      </c>
      <c r="H20" s="69">
        <f>CW_Net_Position!H37</f>
        <v/>
      </c>
      <c r="I20" s="69">
        <f>CW_Net_Position!I37</f>
        <v/>
      </c>
      <c r="J20" s="69">
        <f>CW_Net_Position!J37</f>
        <v/>
      </c>
      <c r="K20" s="69">
        <f>CW_Net_Position!K37</f>
        <v/>
      </c>
      <c r="L20" s="69">
        <f>CW_Net_Position!L37</f>
        <v/>
      </c>
      <c r="M20" s="69">
        <f>CW_Net_Position!M37</f>
        <v/>
      </c>
    </row>
    <row r="21">
      <c r="A21" s="2" t="n"/>
      <c r="B21" s="2" t="n"/>
      <c r="C21" s="2" t="n"/>
      <c r="D21" s="2" t="n"/>
      <c r="E21" s="2" t="n"/>
      <c r="F21" s="2" t="n"/>
      <c r="G21" s="2" t="n"/>
      <c r="H21" s="2" t="n"/>
      <c r="I21" s="2" t="n"/>
      <c r="J21" s="2" t="n"/>
      <c r="K21" s="2" t="n"/>
      <c r="L21" s="2" t="n"/>
      <c r="M21" s="2" t="n"/>
    </row>
    <row r="22">
      <c r="A22" s="19" t="inlineStr">
        <is>
          <t>SUMMARY</t>
        </is>
      </c>
      <c r="B22" s="20" t="n"/>
      <c r="C22" s="20" t="n"/>
      <c r="D22" s="20" t="n"/>
      <c r="E22" s="20" t="n"/>
      <c r="F22" s="20" t="n"/>
      <c r="G22" s="20" t="n"/>
      <c r="H22" s="20" t="n"/>
      <c r="I22" s="20" t="n"/>
      <c r="J22" s="20" t="n"/>
      <c r="K22" s="20" t="n"/>
      <c r="L22" s="20" t="n"/>
      <c r="M22" s="20" t="n"/>
    </row>
    <row r="23">
      <c r="A23" s="13" t="inlineStr">
        <is>
          <t>General Fund fund balance</t>
        </is>
      </c>
      <c r="B23" s="22">
        <f>B7</f>
        <v/>
      </c>
      <c r="C23" s="22">
        <f>C7</f>
        <v/>
      </c>
      <c r="D23" s="22">
        <f>D7</f>
        <v/>
      </c>
      <c r="E23" s="22">
        <f>E7</f>
        <v/>
      </c>
      <c r="F23" s="22">
        <f>F7</f>
        <v/>
      </c>
      <c r="G23" s="22">
        <f>G7</f>
        <v/>
      </c>
      <c r="H23" s="22">
        <f>H7</f>
        <v/>
      </c>
      <c r="I23" s="22">
        <f>I7</f>
        <v/>
      </c>
      <c r="J23" s="22">
        <f>J7</f>
        <v/>
      </c>
      <c r="K23" s="22">
        <f>K7</f>
        <v/>
      </c>
      <c r="L23" s="22">
        <f>L7</f>
        <v/>
      </c>
      <c r="M23" s="22">
        <f>M7</f>
        <v/>
      </c>
    </row>
    <row r="24">
      <c r="A24" s="13" t="inlineStr">
        <is>
          <t>Effect of pension/OPEB (liability net of deferrals)</t>
        </is>
      </c>
      <c r="B24" s="22">
        <f>B16+B17</f>
        <v/>
      </c>
      <c r="C24" s="22">
        <f>C16+C17</f>
        <v/>
      </c>
      <c r="D24" s="22">
        <f>D16+D17</f>
        <v/>
      </c>
      <c r="E24" s="22">
        <f>E16+E17</f>
        <v/>
      </c>
      <c r="F24" s="22">
        <f>F16+F17</f>
        <v/>
      </c>
      <c r="G24" s="22">
        <f>G16+G17</f>
        <v/>
      </c>
      <c r="H24" s="22">
        <f>H16+H17</f>
        <v/>
      </c>
      <c r="I24" s="22">
        <f>I16+I17</f>
        <v/>
      </c>
      <c r="J24" s="22">
        <f>J16+J17</f>
        <v/>
      </c>
      <c r="K24" s="22">
        <f>K16+K17</f>
        <v/>
      </c>
      <c r="L24" s="22">
        <f>L16+L17</f>
        <v/>
      </c>
      <c r="M24" s="22">
        <f>M16+M17</f>
        <v/>
      </c>
    </row>
    <row r="25">
      <c r="A25" s="13" t="inlineStr">
        <is>
          <t>Effect of capital assets net of long-term debt</t>
        </is>
      </c>
      <c r="B25" s="22">
        <f>B13+B14</f>
        <v/>
      </c>
      <c r="C25" s="22">
        <f>C13+C14</f>
        <v/>
      </c>
      <c r="D25" s="22">
        <f>D13+D14</f>
        <v/>
      </c>
      <c r="E25" s="22">
        <f>E13+E14</f>
        <v/>
      </c>
      <c r="F25" s="22">
        <f>F13+F14</f>
        <v/>
      </c>
      <c r="G25" s="22">
        <f>G13+G14</f>
        <v/>
      </c>
      <c r="H25" s="22">
        <f>H13+H14</f>
        <v/>
      </c>
      <c r="I25" s="22">
        <f>I13+I14</f>
        <v/>
      </c>
      <c r="J25" s="22">
        <f>J13+J14</f>
        <v/>
      </c>
      <c r="K25" s="22">
        <f>K13+K14</f>
        <v/>
      </c>
      <c r="L25" s="22">
        <f>L13+L14</f>
        <v/>
      </c>
      <c r="M25" s="22">
        <f>M13+M14</f>
        <v/>
      </c>
    </row>
    <row r="26">
      <c r="A26" s="13" t="inlineStr">
        <is>
          <t>Everything else (other funds, leave, claims, other items)</t>
        </is>
      </c>
      <c r="B26" s="22">
        <f>B9+B15+B18</f>
        <v/>
      </c>
      <c r="C26" s="22">
        <f>C9+C15+C18</f>
        <v/>
      </c>
      <c r="D26" s="22">
        <f>D9+D15+D18</f>
        <v/>
      </c>
      <c r="E26" s="22">
        <f>E9+E15+E18</f>
        <v/>
      </c>
      <c r="F26" s="22">
        <f>F9+F15+F18</f>
        <v/>
      </c>
      <c r="G26" s="22">
        <f>G9+G15+G18</f>
        <v/>
      </c>
      <c r="H26" s="22">
        <f>H9+H15+H18</f>
        <v/>
      </c>
      <c r="I26" s="22">
        <f>I9+I15+I18</f>
        <v/>
      </c>
      <c r="J26" s="22">
        <f>J9+J15+J18</f>
        <v/>
      </c>
      <c r="K26" s="22">
        <f>K9+K15+K18</f>
        <v/>
      </c>
      <c r="L26" s="22">
        <f>L9+L15+L18</f>
        <v/>
      </c>
      <c r="M26" s="22">
        <f>M9+M15+M18</f>
        <v/>
      </c>
    </row>
    <row r="27">
      <c r="A27" s="12" t="inlineStr">
        <is>
          <t>Citywide net position (governmental activities)</t>
        </is>
      </c>
      <c r="B27" s="31">
        <f>SUM(B23:B26)</f>
        <v/>
      </c>
      <c r="C27" s="31">
        <f>SUM(C23:C26)</f>
        <v/>
      </c>
      <c r="D27" s="31">
        <f>SUM(D23:D26)</f>
        <v/>
      </c>
      <c r="E27" s="31">
        <f>SUM(E23:E26)</f>
        <v/>
      </c>
      <c r="F27" s="31">
        <f>SUM(F23:F26)</f>
        <v/>
      </c>
      <c r="G27" s="31">
        <f>SUM(G23:G26)</f>
        <v/>
      </c>
      <c r="H27" s="31">
        <f>SUM(H23:H26)</f>
        <v/>
      </c>
      <c r="I27" s="31">
        <f>SUM(I23:I26)</f>
        <v/>
      </c>
      <c r="J27" s="31">
        <f>SUM(J23:J26)</f>
        <v/>
      </c>
      <c r="K27" s="31">
        <f>SUM(K23:K26)</f>
        <v/>
      </c>
      <c r="L27" s="31">
        <f>SUM(L23:L26)</f>
        <v/>
      </c>
      <c r="M27" s="31">
        <f>SUM(M23:M26)</f>
        <v/>
      </c>
    </row>
    <row r="28">
      <c r="A28" s="13" t="inlineStr">
        <is>
          <t>Check: summary vs. net position (should be 0)</t>
        </is>
      </c>
      <c r="B28" s="35">
        <f>B27-B20</f>
        <v/>
      </c>
      <c r="C28" s="35">
        <f>C27-C20</f>
        <v/>
      </c>
      <c r="D28" s="35">
        <f>D27-D20</f>
        <v/>
      </c>
      <c r="E28" s="35">
        <f>E27-E20</f>
        <v/>
      </c>
      <c r="F28" s="35">
        <f>F27-F20</f>
        <v/>
      </c>
      <c r="G28" s="35">
        <f>G27-G20</f>
        <v/>
      </c>
      <c r="H28" s="35">
        <f>H27-H20</f>
        <v/>
      </c>
      <c r="I28" s="35">
        <f>I27-I20</f>
        <v/>
      </c>
      <c r="J28" s="35">
        <f>J27-J20</f>
        <v/>
      </c>
      <c r="K28" s="35">
        <f>K27-K20</f>
        <v/>
      </c>
      <c r="L28" s="35">
        <f>L27-L20</f>
        <v/>
      </c>
      <c r="M28" s="35">
        <f>M27-M20</f>
        <v/>
      </c>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19" t="inlineStr">
        <is>
          <t>ACFR RECONCILIATION, ITEMIZED (total governmental funds -&gt; governmental activities net position)</t>
        </is>
      </c>
      <c r="B31" s="20" t="n"/>
      <c r="C31" s="20" t="n"/>
      <c r="D31" s="20" t="n"/>
      <c r="E31" s="20" t="n"/>
      <c r="F31" s="20" t="n"/>
      <c r="G31" s="20" t="n"/>
      <c r="H31" s="20" t="n"/>
      <c r="I31" s="20" t="n"/>
      <c r="J31" s="20" t="n"/>
      <c r="K31" s="20" t="n"/>
      <c r="L31" s="20" t="n"/>
      <c r="M31" s="20" t="n"/>
    </row>
    <row r="32">
      <c r="A32" s="12" t="inlineStr">
        <is>
          <t>Total fund balance, all governmental funds</t>
        </is>
      </c>
      <c r="B32" s="27">
        <f>B8</f>
        <v/>
      </c>
      <c r="C32" s="27">
        <f>C8</f>
        <v/>
      </c>
      <c r="D32" s="27">
        <f>D8</f>
        <v/>
      </c>
      <c r="E32" s="27">
        <f>E8</f>
        <v/>
      </c>
      <c r="F32" s="27">
        <f>F8</f>
        <v/>
      </c>
      <c r="G32" s="27">
        <f>G8</f>
        <v/>
      </c>
      <c r="H32" s="27">
        <f>H8</f>
        <v/>
      </c>
      <c r="I32" s="27">
        <f>I8</f>
        <v/>
      </c>
      <c r="J32" s="27">
        <f>J8</f>
        <v/>
      </c>
      <c r="K32" s="27">
        <f>K8</f>
        <v/>
      </c>
      <c r="L32" s="27">
        <f>L8</f>
        <v/>
      </c>
      <c r="M32" s="27">
        <f>M8</f>
        <v/>
      </c>
    </row>
    <row r="33">
      <c r="A33" s="21" t="inlineStr">
        <is>
          <t>Capital assets, net (excl. internal service fund)</t>
        </is>
      </c>
      <c r="B33" s="29" t="n">
        <v>85067083</v>
      </c>
      <c r="C33" s="29" t="n">
        <v>83144818</v>
      </c>
      <c r="D33" s="29" t="n">
        <v>80998173</v>
      </c>
      <c r="E33" s="29" t="n">
        <v>78694517</v>
      </c>
      <c r="F33" s="29" t="n">
        <v>76852224</v>
      </c>
      <c r="G33" s="29" t="n">
        <v>73109078</v>
      </c>
      <c r="H33" s="29" t="n">
        <v>71099169</v>
      </c>
      <c r="I33" s="29" t="n">
        <v>69231302</v>
      </c>
      <c r="J33" s="29" t="n">
        <v>68142964</v>
      </c>
      <c r="K33" s="29" t="n">
        <v>67244487</v>
      </c>
      <c r="L33" s="29" t="n">
        <v>68848098</v>
      </c>
      <c r="M33" s="29" t="n">
        <v>73597873</v>
      </c>
    </row>
    <row r="34">
      <c r="A34" s="21" t="inlineStr">
        <is>
          <t>Internal service fund net position</t>
        </is>
      </c>
      <c r="B34" s="29" t="n">
        <v>-26862</v>
      </c>
      <c r="C34" s="29" t="n">
        <v>-26863</v>
      </c>
      <c r="D34" s="29" t="n">
        <v>-157135</v>
      </c>
      <c r="E34" s="29" t="n">
        <v>1055976</v>
      </c>
      <c r="F34" s="29" t="n">
        <v>736159</v>
      </c>
      <c r="G34" s="29" t="n">
        <v>568028</v>
      </c>
      <c r="H34" s="29" t="n">
        <v>509746</v>
      </c>
      <c r="I34" s="29" t="n">
        <v>375645</v>
      </c>
      <c r="J34" s="29" t="n">
        <v>420341</v>
      </c>
      <c r="K34" s="29" t="n">
        <v>456819</v>
      </c>
      <c r="L34" s="29" t="n">
        <v>581323</v>
      </c>
      <c r="M34" s="29" t="n">
        <v>856006</v>
      </c>
    </row>
    <row r="35">
      <c r="A35" s="21" t="inlineStr">
        <is>
          <t>Revenues unavailable in funds, recognized citywide</t>
        </is>
      </c>
      <c r="B35" s="29" t="n">
        <v>5406297</v>
      </c>
      <c r="C35" s="29" t="n">
        <v>7713154</v>
      </c>
      <c r="D35" s="29" t="n">
        <v>7758205</v>
      </c>
      <c r="E35" s="29" t="n">
        <v>1056520</v>
      </c>
      <c r="F35" s="29" t="n">
        <v>1664536</v>
      </c>
      <c r="G35" s="29" t="n">
        <v>1211055</v>
      </c>
      <c r="H35" s="29" t="n">
        <v>1041626</v>
      </c>
      <c r="I35" s="29" t="n">
        <v>1124127</v>
      </c>
      <c r="J35" s="29" t="n">
        <v>1052839</v>
      </c>
      <c r="K35" s="29" t="n">
        <v>1375016</v>
      </c>
      <c r="L35" s="29" t="n">
        <v>3732214</v>
      </c>
      <c r="M35" s="29" t="n">
        <v>5198482</v>
      </c>
    </row>
    <row r="36">
      <c r="A36" s="21" t="inlineStr">
        <is>
          <t>Accrued interest payable</t>
        </is>
      </c>
      <c r="B36" s="29" t="n">
        <v>-132133</v>
      </c>
      <c r="C36" s="29" t="n">
        <v>-126608</v>
      </c>
      <c r="D36" s="29" t="n">
        <v>-120658</v>
      </c>
      <c r="E36" s="29" t="n">
        <v>-174625</v>
      </c>
      <c r="F36" s="29" t="n">
        <v>-207347</v>
      </c>
      <c r="G36" s="29" t="n">
        <v>-201946</v>
      </c>
      <c r="H36" s="29" t="n">
        <v>-196933</v>
      </c>
      <c r="I36" s="29" t="n">
        <v>-193310</v>
      </c>
      <c r="J36" s="29" t="n">
        <v>-202000</v>
      </c>
      <c r="K36" s="29" t="n">
        <v>-193310</v>
      </c>
      <c r="L36" s="29" t="n">
        <v>-154000</v>
      </c>
      <c r="M36" s="29" t="n">
        <v>-157841</v>
      </c>
    </row>
    <row r="37">
      <c r="A37" s="21" t="inlineStr">
        <is>
          <t>Pension/OPEB deferred outflows less inflows (incl. deferred contributions)</t>
        </is>
      </c>
      <c r="B37" s="29" t="n">
        <v>0</v>
      </c>
      <c r="C37" s="29" t="n">
        <v>-4899831</v>
      </c>
      <c r="D37" s="29" t="n">
        <v>3536995</v>
      </c>
      <c r="E37" s="29" t="n">
        <v>13438254</v>
      </c>
      <c r="F37" s="29" t="n">
        <v>16463199</v>
      </c>
      <c r="G37" s="29" t="n">
        <v>12719762</v>
      </c>
      <c r="H37" s="29" t="n">
        <v>12955687</v>
      </c>
      <c r="I37" s="29" t="n">
        <v>15419079</v>
      </c>
      <c r="J37" s="29" t="n">
        <v>-18735540</v>
      </c>
      <c r="K37" s="29" t="n">
        <v>27297012</v>
      </c>
      <c r="L37" s="29" t="n">
        <v>28643120</v>
      </c>
      <c r="M37" s="29" t="n">
        <v>22853811</v>
      </c>
    </row>
    <row r="38">
      <c r="A38" s="21" t="inlineStr">
        <is>
          <t>Deferred amounts on debt refunding</t>
        </is>
      </c>
      <c r="B38" s="29" t="n">
        <v>0</v>
      </c>
      <c r="C38" s="29" t="n">
        <v>0</v>
      </c>
      <c r="D38" s="29" t="n">
        <v>0</v>
      </c>
      <c r="E38" s="29" t="n">
        <v>335395</v>
      </c>
      <c r="F38" s="29" t="n">
        <v>317723</v>
      </c>
      <c r="G38" s="29" t="n">
        <v>300051</v>
      </c>
      <c r="H38" s="29" t="n">
        <v>282379</v>
      </c>
      <c r="I38" s="29" t="n">
        <v>264707</v>
      </c>
      <c r="J38" s="29" t="n">
        <v>247035</v>
      </c>
      <c r="K38" s="29" t="n">
        <v>229363</v>
      </c>
      <c r="L38" s="29" t="n">
        <v>211691</v>
      </c>
      <c r="M38" s="29" t="n">
        <v>194019</v>
      </c>
    </row>
    <row r="39">
      <c r="A39" s="21" t="inlineStr">
        <is>
          <t>Other (accrued liabilities)</t>
        </is>
      </c>
      <c r="B39" s="29" t="n">
        <v>-1037862</v>
      </c>
      <c r="C39" s="29" t="n">
        <v>-792263</v>
      </c>
      <c r="D39" s="29" t="n">
        <v>-520976</v>
      </c>
      <c r="E39" s="29" t="n">
        <v>-233436</v>
      </c>
      <c r="F39" s="29" t="n">
        <v>0</v>
      </c>
      <c r="G39" s="29" t="n">
        <v>0</v>
      </c>
      <c r="H39" s="29" t="n">
        <v>0</v>
      </c>
      <c r="I39" s="29" t="n">
        <v>0</v>
      </c>
      <c r="J39" s="29" t="n">
        <v>0</v>
      </c>
      <c r="K39" s="29" t="n">
        <v>0</v>
      </c>
      <c r="L39" s="29" t="n">
        <v>0</v>
      </c>
      <c r="M39" s="29" t="n">
        <v>0</v>
      </c>
    </row>
    <row r="40">
      <c r="A40" s="21" t="inlineStr">
        <is>
          <t>Long-term debt (net of internal service fund portion)</t>
        </is>
      </c>
      <c r="B40" s="29" t="n">
        <v>-23212392</v>
      </c>
      <c r="C40" s="29" t="n">
        <v>-22181119</v>
      </c>
      <c r="D40" s="29" t="n">
        <v>-20686071</v>
      </c>
      <c r="E40" s="29" t="n">
        <v>-19787721</v>
      </c>
      <c r="F40" s="29" t="n">
        <v>-19030269</v>
      </c>
      <c r="G40" s="29" t="n">
        <v>-18066109</v>
      </c>
      <c r="H40" s="29" t="n">
        <v>-17196617</v>
      </c>
      <c r="I40" s="29" t="n">
        <v>-16162563</v>
      </c>
      <c r="J40" s="29" t="n">
        <v>-15376442</v>
      </c>
      <c r="K40" s="29" t="n">
        <v>-14480093</v>
      </c>
      <c r="L40" s="29" t="n">
        <v>-13119228</v>
      </c>
      <c r="M40" s="29" t="n">
        <v>-12759753</v>
      </c>
    </row>
    <row r="41">
      <c r="A41" s="21" t="inlineStr">
        <is>
          <t>Compensated absences</t>
        </is>
      </c>
      <c r="B41" s="29" t="n">
        <v>-1541015</v>
      </c>
      <c r="C41" s="29" t="n">
        <v>-1335398</v>
      </c>
      <c r="D41" s="29" t="n">
        <v>-1454048</v>
      </c>
      <c r="E41" s="29" t="n">
        <v>-1662426</v>
      </c>
      <c r="F41" s="29" t="n">
        <v>-1874601</v>
      </c>
      <c r="G41" s="29" t="n">
        <v>-2026530</v>
      </c>
      <c r="H41" s="29" t="n">
        <v>-2382150</v>
      </c>
      <c r="I41" s="29" t="n">
        <v>-2630077</v>
      </c>
      <c r="J41" s="29" t="n">
        <v>-2504516</v>
      </c>
      <c r="K41" s="29" t="n">
        <v>-1716023</v>
      </c>
      <c r="L41" s="29" t="n">
        <v>-1874503</v>
      </c>
      <c r="M41" s="29" t="n">
        <v>-2741774</v>
      </c>
    </row>
    <row r="42">
      <c r="A42" s="21" t="inlineStr">
        <is>
          <t>Claims payable</t>
        </is>
      </c>
      <c r="B42" s="29" t="n">
        <v>-57349</v>
      </c>
      <c r="C42" s="29" t="n">
        <v>-90418</v>
      </c>
      <c r="D42" s="29" t="n">
        <v>-375006</v>
      </c>
      <c r="E42" s="29" t="n">
        <v>-13827</v>
      </c>
      <c r="F42" s="29" t="n">
        <v>-21402</v>
      </c>
      <c r="G42" s="29" t="n">
        <v>-36165</v>
      </c>
      <c r="H42" s="29" t="n">
        <v>-28741</v>
      </c>
      <c r="I42" s="29" t="n">
        <v>-15000</v>
      </c>
      <c r="J42" s="29" t="n">
        <v>-15000</v>
      </c>
      <c r="K42" s="29" t="n">
        <v>-23968</v>
      </c>
      <c r="L42" s="29" t="n">
        <v>-18453</v>
      </c>
      <c r="M42" s="29" t="n">
        <v>-20625</v>
      </c>
    </row>
    <row r="43">
      <c r="A43" s="21" t="inlineStr">
        <is>
          <t>OPEB liability</t>
        </is>
      </c>
      <c r="B43" s="29" t="n">
        <v>-1573570</v>
      </c>
      <c r="C43" s="29" t="n">
        <v>-1867190</v>
      </c>
      <c r="D43" s="29" t="n">
        <v>-2160810</v>
      </c>
      <c r="E43" s="29" t="n">
        <v>-2454430</v>
      </c>
      <c r="F43" s="29" t="n">
        <v>-2845887</v>
      </c>
      <c r="G43" s="29" t="n">
        <v>-2994539</v>
      </c>
      <c r="H43" s="29" t="n">
        <v>-3906161</v>
      </c>
      <c r="I43" s="29" t="n">
        <v>-4887434</v>
      </c>
      <c r="J43" s="29" t="n">
        <v>0</v>
      </c>
      <c r="K43" s="29" t="n">
        <v>0</v>
      </c>
      <c r="L43" s="29" t="n">
        <v>0</v>
      </c>
      <c r="M43" s="29" t="n">
        <v>0</v>
      </c>
    </row>
    <row r="44">
      <c r="A44" s="21" t="inlineStr">
        <is>
          <t>Net pension liability</t>
        </is>
      </c>
      <c r="B44" s="29" t="n">
        <v>0</v>
      </c>
      <c r="C44" s="29" t="n">
        <v>-39314773</v>
      </c>
      <c r="D44" s="29" t="n">
        <v>-45992107</v>
      </c>
      <c r="E44" s="29" t="n">
        <v>-54843657</v>
      </c>
      <c r="F44" s="29" t="n">
        <v>-61775131</v>
      </c>
      <c r="G44" s="29" t="n">
        <v>-61856499</v>
      </c>
      <c r="H44" s="29" t="n">
        <v>-65832700</v>
      </c>
      <c r="I44" s="29" t="n">
        <v>-70374424</v>
      </c>
      <c r="J44" s="29" t="n">
        <v>-48950390</v>
      </c>
      <c r="K44" s="29" t="n">
        <v>-79526924</v>
      </c>
      <c r="L44" s="29" t="n">
        <v>-80740039</v>
      </c>
      <c r="M44" s="29" t="n">
        <v>-79676034</v>
      </c>
    </row>
    <row r="45">
      <c r="A45" s="12" t="inlineStr">
        <is>
          <t>Net position, governmental activities (computed)</t>
        </is>
      </c>
      <c r="B45" s="31">
        <f>B32+SUM(B33:B44)</f>
        <v/>
      </c>
      <c r="C45" s="31">
        <f>C32+SUM(C33:C44)</f>
        <v/>
      </c>
      <c r="D45" s="31">
        <f>D32+SUM(D33:D44)</f>
        <v/>
      </c>
      <c r="E45" s="31">
        <f>E32+SUM(E33:E44)</f>
        <v/>
      </c>
      <c r="F45" s="31">
        <f>F32+SUM(F33:F44)</f>
        <v/>
      </c>
      <c r="G45" s="31">
        <f>G32+SUM(G33:G44)</f>
        <v/>
      </c>
      <c r="H45" s="31">
        <f>H32+SUM(H33:H44)</f>
        <v/>
      </c>
      <c r="I45" s="31">
        <f>I32+SUM(I33:I44)</f>
        <v/>
      </c>
      <c r="J45" s="31">
        <f>J32+SUM(J33:J44)</f>
        <v/>
      </c>
      <c r="K45" s="31">
        <f>K32+SUM(K33:K44)</f>
        <v/>
      </c>
      <c r="L45" s="31">
        <f>L32+SUM(L33:L44)</f>
        <v/>
      </c>
      <c r="M45" s="31">
        <f>M32+SUM(M33:M44)</f>
        <v/>
      </c>
    </row>
    <row r="46">
      <c r="A46" s="13" t="inlineStr">
        <is>
          <t>Check: vs. CW_Net_Position (should be 0)</t>
        </is>
      </c>
      <c r="B46" s="35">
        <f>B45-CW_Net_Position!B37</f>
        <v/>
      </c>
      <c r="C46" s="35">
        <f>C45-CW_Net_Position!C37</f>
        <v/>
      </c>
      <c r="D46" s="35">
        <f>D45-CW_Net_Position!D37</f>
        <v/>
      </c>
      <c r="E46" s="35">
        <f>E45-CW_Net_Position!E37</f>
        <v/>
      </c>
      <c r="F46" s="35">
        <f>F45-CW_Net_Position!F37</f>
        <v/>
      </c>
      <c r="G46" s="35">
        <f>G45-CW_Net_Position!G37</f>
        <v/>
      </c>
      <c r="H46" s="35">
        <f>H45-CW_Net_Position!H37</f>
        <v/>
      </c>
      <c r="I46" s="35">
        <f>I45-CW_Net_Position!I37</f>
        <v/>
      </c>
      <c r="J46" s="35">
        <f>J45-CW_Net_Position!J37</f>
        <v/>
      </c>
      <c r="K46" s="35">
        <f>K45-CW_Net_Position!K37</f>
        <v/>
      </c>
      <c r="L46" s="35">
        <f>L45-CW_Net_Position!L37</f>
        <v/>
      </c>
      <c r="M46" s="35">
        <f>M45-CW_Net_Position!M37</f>
        <v/>
      </c>
    </row>
    <row r="47">
      <c r="A47" s="21" t="inlineStr">
        <is>
          <t>Memo: internal service fund + unavailable revenue + interest + deferrals + refunding + other (itemized items not in the summary above)</t>
        </is>
      </c>
      <c r="B47" s="22">
        <f>SUM(B34:B38)+B39</f>
        <v/>
      </c>
      <c r="C47" s="22">
        <f>SUM(C34:C38)+C39</f>
        <v/>
      </c>
      <c r="D47" s="22">
        <f>SUM(D34:D38)+D39</f>
        <v/>
      </c>
      <c r="E47" s="22">
        <f>SUM(E34:E38)+E39</f>
        <v/>
      </c>
      <c r="F47" s="22">
        <f>SUM(F34:F38)+F39</f>
        <v/>
      </c>
      <c r="G47" s="22">
        <f>SUM(G34:G38)+G39</f>
        <v/>
      </c>
      <c r="H47" s="22">
        <f>SUM(H34:H38)+H39</f>
        <v/>
      </c>
      <c r="I47" s="22">
        <f>SUM(I34:I38)+I39</f>
        <v/>
      </c>
      <c r="J47" s="22">
        <f>SUM(J34:J38)+J39</f>
        <v/>
      </c>
      <c r="K47" s="22">
        <f>SUM(K34:K38)+K39</f>
        <v/>
      </c>
      <c r="L47" s="22">
        <f>SUM(L34:L38)+L39</f>
        <v/>
      </c>
      <c r="M47" s="22">
        <f>SUM(M34:M38)+M39</f>
        <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375623"/>
    <outlinePr summaryBelow="1" summaryRight="1"/>
    <pageSetUpPr/>
  </sheetPr>
  <dimension ref="A1:M6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7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CITYWIDE (governmental activities)</t>
        </is>
      </c>
      <c r="B1" s="2" t="n"/>
      <c r="C1" s="2" t="n"/>
      <c r="D1" s="2" t="n"/>
      <c r="E1" s="2" t="n"/>
      <c r="F1" s="2" t="n"/>
      <c r="G1" s="2" t="n"/>
      <c r="H1" s="2" t="n"/>
      <c r="I1" s="2" t="n"/>
      <c r="J1" s="2" t="n"/>
      <c r="K1" s="2" t="n"/>
      <c r="L1" s="2" t="n"/>
      <c r="M1" s="2" t="n"/>
    </row>
    <row r="2">
      <c r="A2" s="12" t="inlineStr">
        <is>
          <t>Statement of Net Position, June 30, $ - includes buildings/equipment/infrastructure, long-term debt and pension liabilities</t>
        </is>
      </c>
      <c r="B2" s="2" t="n"/>
      <c r="C2" s="2" t="n"/>
      <c r="D2" s="2" t="n"/>
      <c r="E2" s="2" t="n"/>
      <c r="F2" s="2" t="n"/>
      <c r="G2" s="2" t="n"/>
      <c r="H2" s="2" t="n"/>
      <c r="I2" s="2" t="n"/>
      <c r="J2" s="2" t="n"/>
      <c r="K2" s="2" t="n"/>
      <c r="L2" s="2" t="n"/>
      <c r="M2" s="2" t="n"/>
    </row>
    <row r="3">
      <c r="A3" s="7" t="inlineStr">
        <is>
          <t>Full-accrual government-wide statement, GOVERNMENTAL ACTIVITIES column (all governmental funds + internal service fund; excludes the business-type Integrated Waste Management fund). FY2025-26 not yet published (ACFR expected Dec 2026).</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ASSETS</t>
        </is>
      </c>
      <c r="B7" s="20" t="n"/>
      <c r="C7" s="20" t="n"/>
      <c r="D7" s="20" t="n"/>
      <c r="E7" s="20" t="n"/>
      <c r="F7" s="20" t="n"/>
      <c r="G7" s="20" t="n"/>
      <c r="H7" s="20" t="n"/>
      <c r="I7" s="20" t="n"/>
      <c r="J7" s="20" t="n"/>
      <c r="K7" s="20" t="n"/>
      <c r="L7" s="20" t="n"/>
      <c r="M7" s="20" t="n"/>
    </row>
    <row r="8">
      <c r="A8" s="21" t="inlineStr">
        <is>
          <t>Cash and investments (incl. with fiscal agents)</t>
        </is>
      </c>
      <c r="B8" s="29" t="n">
        <v>1931237</v>
      </c>
      <c r="C8" s="29" t="n">
        <v>1626978</v>
      </c>
      <c r="D8" s="29" t="n">
        <v>9713164</v>
      </c>
      <c r="E8" s="29" t="n">
        <v>7038065</v>
      </c>
      <c r="F8" s="29" t="n">
        <v>7901998</v>
      </c>
      <c r="G8" s="29" t="n">
        <v>8993498</v>
      </c>
      <c r="H8" s="29" t="n">
        <v>15359295</v>
      </c>
      <c r="I8" s="29" t="n">
        <v>20474360</v>
      </c>
      <c r="J8" s="29" t="n">
        <v>32335230</v>
      </c>
      <c r="K8" s="29" t="n">
        <v>35051633</v>
      </c>
      <c r="L8" s="29" t="n">
        <v>37196758</v>
      </c>
      <c r="M8" s="29" t="n">
        <v>38478939</v>
      </c>
    </row>
    <row r="9">
      <c r="A9" s="21" t="inlineStr">
        <is>
          <t>Receivables (accounts, interest, due from other governments)</t>
        </is>
      </c>
      <c r="B9" s="29" t="n">
        <v>5145010</v>
      </c>
      <c r="C9" s="29" t="n">
        <v>3996830</v>
      </c>
      <c r="D9" s="29" t="n">
        <v>2621587</v>
      </c>
      <c r="E9" s="29" t="n">
        <v>3875442</v>
      </c>
      <c r="F9" s="29" t="n">
        <v>4377744</v>
      </c>
      <c r="G9" s="29" t="n">
        <v>4261488</v>
      </c>
      <c r="H9" s="29" t="n">
        <v>3828553</v>
      </c>
      <c r="I9" s="29" t="n">
        <v>7479436</v>
      </c>
      <c r="J9" s="29" t="n">
        <v>5528236</v>
      </c>
      <c r="K9" s="29" t="n">
        <v>7265183</v>
      </c>
      <c r="L9" s="29" t="n">
        <v>8348372</v>
      </c>
      <c r="M9" s="29" t="n">
        <v>11071210</v>
      </c>
    </row>
    <row r="10">
      <c r="A10" s="21" t="inlineStr">
        <is>
          <t>Loans receivable</t>
        </is>
      </c>
      <c r="B10" s="29" t="n">
        <v>5697959</v>
      </c>
      <c r="C10" s="29" t="n">
        <v>8169459</v>
      </c>
      <c r="D10" s="29" t="n">
        <v>8521590</v>
      </c>
      <c r="E10" s="29" t="n">
        <v>7677273</v>
      </c>
      <c r="F10" s="29" t="n">
        <v>7531495</v>
      </c>
      <c r="G10" s="29" t="n">
        <v>7293486</v>
      </c>
      <c r="H10" s="29" t="n">
        <v>7238519</v>
      </c>
      <c r="I10" s="29" t="n">
        <v>7351152</v>
      </c>
      <c r="J10" s="29" t="n">
        <v>7451152</v>
      </c>
      <c r="K10" s="29" t="n">
        <v>7527427</v>
      </c>
      <c r="L10" s="29" t="n">
        <v>8041087</v>
      </c>
      <c r="M10" s="29" t="n">
        <v>9025108</v>
      </c>
    </row>
    <row r="11">
      <c r="A11" s="21" t="inlineStr">
        <is>
          <t>Other assets (inventory, prepaids, internal balances, land held for resale, due from Successor Agency)</t>
        </is>
      </c>
      <c r="B11" s="29" t="n">
        <v>4249710</v>
      </c>
      <c r="C11" s="29" t="n">
        <v>4329359</v>
      </c>
      <c r="D11" s="29" t="n">
        <v>4513976</v>
      </c>
      <c r="E11" s="29" t="n">
        <v>5689011</v>
      </c>
      <c r="F11" s="29" t="n">
        <v>5895357</v>
      </c>
      <c r="G11" s="29" t="n">
        <v>2879392</v>
      </c>
      <c r="H11" s="29" t="n">
        <v>2673608</v>
      </c>
      <c r="I11" s="29" t="n">
        <v>25694</v>
      </c>
      <c r="J11" s="29" t="n">
        <v>356339</v>
      </c>
      <c r="K11" s="29" t="n">
        <v>264865</v>
      </c>
      <c r="L11" s="29" t="n">
        <v>316356</v>
      </c>
      <c r="M11" s="29" t="n">
        <v>323124</v>
      </c>
    </row>
    <row r="12">
      <c r="A12" s="21" t="inlineStr">
        <is>
          <t>Capital assets - non-depreciable (land, construction in progress)</t>
        </is>
      </c>
      <c r="B12" s="29" t="n">
        <v>8050390</v>
      </c>
      <c r="C12" s="29" t="n">
        <v>9739689</v>
      </c>
      <c r="D12" s="29" t="n">
        <v>11701821</v>
      </c>
      <c r="E12" s="29" t="n">
        <v>5820229</v>
      </c>
      <c r="F12" s="29" t="n">
        <v>6770055</v>
      </c>
      <c r="G12" s="29" t="n">
        <v>10159537</v>
      </c>
      <c r="H12" s="29" t="n">
        <v>5866775</v>
      </c>
      <c r="I12" s="29" t="n">
        <v>5989656</v>
      </c>
      <c r="J12" s="29" t="n">
        <v>11128309</v>
      </c>
      <c r="K12" s="29" t="n">
        <v>11826429</v>
      </c>
      <c r="L12" s="29" t="n">
        <v>13041173</v>
      </c>
      <c r="M12" s="29" t="n">
        <v>17158178</v>
      </c>
    </row>
    <row r="13">
      <c r="A13" s="21" t="inlineStr">
        <is>
          <t>Capital assets - depreciable (buildings, equipment, infrastructure), net</t>
        </is>
      </c>
      <c r="B13" s="29" t="n">
        <v>77016693</v>
      </c>
      <c r="C13" s="29" t="n">
        <v>73405129</v>
      </c>
      <c r="D13" s="29" t="n">
        <v>69565283</v>
      </c>
      <c r="E13" s="29" t="n">
        <v>74208670</v>
      </c>
      <c r="F13" s="29" t="n">
        <v>71074895</v>
      </c>
      <c r="G13" s="29" t="n">
        <v>63621090</v>
      </c>
      <c r="H13" s="29" t="n">
        <v>65685505</v>
      </c>
      <c r="I13" s="29" t="n">
        <v>63560656</v>
      </c>
      <c r="J13" s="29" t="n">
        <v>57222362</v>
      </c>
      <c r="K13" s="29" t="n">
        <v>55525441</v>
      </c>
      <c r="L13" s="29" t="n">
        <v>56394492</v>
      </c>
      <c r="M13" s="29" t="n">
        <v>58035209</v>
      </c>
    </row>
    <row r="14">
      <c r="A14" s="12" t="inlineStr">
        <is>
          <t>Total assets</t>
        </is>
      </c>
      <c r="B14" s="24">
        <f>SUM(B8:B13)</f>
        <v/>
      </c>
      <c r="C14" s="24">
        <f>SUM(C8:C13)</f>
        <v/>
      </c>
      <c r="D14" s="24">
        <f>SUM(D8:D13)</f>
        <v/>
      </c>
      <c r="E14" s="24">
        <f>SUM(E8:E13)</f>
        <v/>
      </c>
      <c r="F14" s="24">
        <f>SUM(F8:F13)</f>
        <v/>
      </c>
      <c r="G14" s="24">
        <f>SUM(G8:G13)</f>
        <v/>
      </c>
      <c r="H14" s="24">
        <f>SUM(H8:H13)</f>
        <v/>
      </c>
      <c r="I14" s="24">
        <f>SUM(I8:I13)</f>
        <v/>
      </c>
      <c r="J14" s="24">
        <f>SUM(J8:J13)</f>
        <v/>
      </c>
      <c r="K14" s="24">
        <f>SUM(K8:K13)</f>
        <v/>
      </c>
      <c r="L14" s="24">
        <f>SUM(L8:L13)</f>
        <v/>
      </c>
      <c r="M14" s="24">
        <f>SUM(M8:M13)</f>
        <v/>
      </c>
    </row>
    <row r="15">
      <c r="A15" s="2" t="n"/>
      <c r="B15" s="2" t="n"/>
      <c r="C15" s="2" t="n"/>
      <c r="D15" s="2" t="n"/>
      <c r="E15" s="2" t="n"/>
      <c r="F15" s="2" t="n"/>
      <c r="G15" s="2" t="n"/>
      <c r="H15" s="2" t="n"/>
      <c r="I15" s="2" t="n"/>
      <c r="J15" s="2" t="n"/>
      <c r="K15" s="2" t="n"/>
      <c r="L15" s="2" t="n"/>
      <c r="M15" s="2" t="n"/>
    </row>
    <row r="16">
      <c r="A16" s="19" t="inlineStr">
        <is>
          <t>DEFERRED OUTFLOWS OF RESOURCES</t>
        </is>
      </c>
      <c r="B16" s="20" t="n"/>
      <c r="C16" s="20" t="n"/>
      <c r="D16" s="20" t="n"/>
      <c r="E16" s="20" t="n"/>
      <c r="F16" s="20" t="n"/>
      <c r="G16" s="20" t="n"/>
      <c r="H16" s="20" t="n"/>
      <c r="I16" s="20" t="n"/>
      <c r="J16" s="20" t="n"/>
      <c r="K16" s="20" t="n"/>
      <c r="L16" s="20" t="n"/>
      <c r="M16" s="20" t="n"/>
    </row>
    <row r="17">
      <c r="A17" s="21" t="inlineStr">
        <is>
          <t>Pension and OPEB related</t>
        </is>
      </c>
      <c r="B17" s="29" t="n">
        <v>0</v>
      </c>
      <c r="C17" s="29" t="n">
        <v>3700898</v>
      </c>
      <c r="D17" s="29" t="n">
        <v>7649080</v>
      </c>
      <c r="E17" s="29" t="n">
        <v>15420498</v>
      </c>
      <c r="F17" s="29" t="n">
        <v>17370124</v>
      </c>
      <c r="G17" s="29" t="n">
        <v>15482724</v>
      </c>
      <c r="H17" s="29" t="n">
        <v>15758883</v>
      </c>
      <c r="I17" s="29" t="n">
        <v>16312126</v>
      </c>
      <c r="J17" s="29" t="n">
        <v>16073123</v>
      </c>
      <c r="K17" s="29" t="n">
        <v>32955886</v>
      </c>
      <c r="L17" s="29" t="n">
        <v>32242338</v>
      </c>
      <c r="M17" s="29" t="n">
        <v>25367164</v>
      </c>
    </row>
    <row r="18">
      <c r="A18" s="21" t="inlineStr">
        <is>
          <t>Deferred loss on refunding / other</t>
        </is>
      </c>
      <c r="B18" s="29" t="n">
        <v>0</v>
      </c>
      <c r="C18" s="29" t="n">
        <v>0</v>
      </c>
      <c r="D18" s="29" t="n">
        <v>0</v>
      </c>
      <c r="E18" s="29" t="n">
        <v>514127</v>
      </c>
      <c r="F18" s="29" t="n">
        <v>487048</v>
      </c>
      <c r="G18" s="29" t="n">
        <v>459969</v>
      </c>
      <c r="H18" s="29" t="n">
        <v>432890</v>
      </c>
      <c r="I18" s="29" t="n">
        <v>405811</v>
      </c>
      <c r="J18" s="29" t="n">
        <v>247035</v>
      </c>
      <c r="K18" s="29" t="n">
        <v>229363</v>
      </c>
      <c r="L18" s="29" t="n">
        <v>211691</v>
      </c>
      <c r="M18" s="29" t="n">
        <v>194019</v>
      </c>
    </row>
    <row r="19">
      <c r="A19" s="12" t="inlineStr">
        <is>
          <t>Total deferred outflows</t>
        </is>
      </c>
      <c r="B19" s="24">
        <f>SUM(B17:B18)</f>
        <v/>
      </c>
      <c r="C19" s="24">
        <f>SUM(C17:C18)</f>
        <v/>
      </c>
      <c r="D19" s="24">
        <f>SUM(D17:D18)</f>
        <v/>
      </c>
      <c r="E19" s="24">
        <f>SUM(E17:E18)</f>
        <v/>
      </c>
      <c r="F19" s="24">
        <f>SUM(F17:F18)</f>
        <v/>
      </c>
      <c r="G19" s="24">
        <f>SUM(G17:G18)</f>
        <v/>
      </c>
      <c r="H19" s="24">
        <f>SUM(H17:H18)</f>
        <v/>
      </c>
      <c r="I19" s="24">
        <f>SUM(I17:I18)</f>
        <v/>
      </c>
      <c r="J19" s="24">
        <f>SUM(J17:J18)</f>
        <v/>
      </c>
      <c r="K19" s="24">
        <f>SUM(K17:K18)</f>
        <v/>
      </c>
      <c r="L19" s="24">
        <f>SUM(L17:L18)</f>
        <v/>
      </c>
      <c r="M19" s="24">
        <f>SUM(M17:M18)</f>
        <v/>
      </c>
    </row>
    <row r="20">
      <c r="A20" s="2" t="n"/>
      <c r="B20" s="2" t="n"/>
      <c r="C20" s="2" t="n"/>
      <c r="D20" s="2" t="n"/>
      <c r="E20" s="2" t="n"/>
      <c r="F20" s="2" t="n"/>
      <c r="G20" s="2" t="n"/>
      <c r="H20" s="2" t="n"/>
      <c r="I20" s="2" t="n"/>
      <c r="J20" s="2" t="n"/>
      <c r="K20" s="2" t="n"/>
      <c r="L20" s="2" t="n"/>
      <c r="M20" s="2" t="n"/>
    </row>
    <row r="21">
      <c r="A21" s="19" t="inlineStr">
        <is>
          <t>LIABILITIES</t>
        </is>
      </c>
      <c r="B21" s="20" t="n"/>
      <c r="C21" s="20" t="n"/>
      <c r="D21" s="20" t="n"/>
      <c r="E21" s="20" t="n"/>
      <c r="F21" s="20" t="n"/>
      <c r="G21" s="20" t="n"/>
      <c r="H21" s="20" t="n"/>
      <c r="I21" s="20" t="n"/>
      <c r="J21" s="20" t="n"/>
      <c r="K21" s="20" t="n"/>
      <c r="L21" s="20" t="n"/>
      <c r="M21" s="20" t="n"/>
    </row>
    <row r="22">
      <c r="A22" s="21" t="inlineStr">
        <is>
          <t>Accounts payable, accrued, interest, deposits, unearned</t>
        </is>
      </c>
      <c r="B22" s="29" t="n">
        <v>4358931</v>
      </c>
      <c r="C22" s="29" t="n">
        <v>2472333</v>
      </c>
      <c r="D22" s="29" t="n">
        <v>2492167</v>
      </c>
      <c r="E22" s="29" t="n">
        <v>2972475</v>
      </c>
      <c r="F22" s="29" t="n">
        <v>3519430</v>
      </c>
      <c r="G22" s="29" t="n">
        <v>3706752</v>
      </c>
      <c r="H22" s="29" t="n">
        <v>5109131</v>
      </c>
      <c r="I22" s="29" t="n">
        <v>3805129</v>
      </c>
      <c r="J22" s="29" t="n">
        <v>5892119</v>
      </c>
      <c r="K22" s="29" t="n">
        <v>8308406</v>
      </c>
      <c r="L22" s="29" t="n">
        <v>7703100</v>
      </c>
      <c r="M22" s="29" t="n">
        <v>9457059</v>
      </c>
    </row>
    <row r="23">
      <c r="A23" s="21" t="inlineStr">
        <is>
          <t>Short-term note payable (TRAN)</t>
        </is>
      </c>
      <c r="B23" s="29" t="n">
        <v>0</v>
      </c>
      <c r="C23" s="29" t="n">
        <v>0</v>
      </c>
      <c r="D23" s="29" t="n">
        <v>5000000</v>
      </c>
      <c r="E23" s="29" t="n">
        <v>5000000</v>
      </c>
      <c r="F23" s="29" t="n">
        <v>6000000</v>
      </c>
      <c r="G23" s="29" t="n">
        <v>6000000</v>
      </c>
      <c r="H23" s="29" t="n">
        <v>9000000</v>
      </c>
      <c r="I23" s="29" t="n">
        <v>8659545</v>
      </c>
      <c r="J23" s="29" t="n">
        <v>6060892</v>
      </c>
      <c r="K23" s="29" t="n">
        <v>0</v>
      </c>
      <c r="L23" s="29" t="n">
        <v>0</v>
      </c>
      <c r="M23" s="29" t="n">
        <v>0</v>
      </c>
    </row>
    <row r="24">
      <c r="A24" s="21" t="inlineStr">
        <is>
          <t>Compensated absences</t>
        </is>
      </c>
      <c r="B24" s="29" t="n">
        <v>1541015</v>
      </c>
      <c r="C24" s="29" t="n">
        <v>1335398</v>
      </c>
      <c r="D24" s="29" t="n">
        <v>1454048</v>
      </c>
      <c r="E24" s="29" t="n">
        <v>1662426</v>
      </c>
      <c r="F24" s="29" t="n">
        <v>1874601</v>
      </c>
      <c r="G24" s="29" t="n">
        <v>2026530</v>
      </c>
      <c r="H24" s="29" t="n">
        <v>2382150</v>
      </c>
      <c r="I24" s="29" t="n">
        <v>2630077</v>
      </c>
      <c r="J24" s="29" t="n">
        <v>2504516</v>
      </c>
      <c r="K24" s="29" t="n">
        <v>1716023</v>
      </c>
      <c r="L24" s="29" t="n">
        <v>1874503</v>
      </c>
      <c r="M24" s="29" t="n">
        <v>2741774</v>
      </c>
    </row>
    <row r="25">
      <c r="A25" s="21" t="inlineStr">
        <is>
          <t>Claims payable</t>
        </is>
      </c>
      <c r="B25" s="29" t="n">
        <v>57349</v>
      </c>
      <c r="C25" s="29" t="n">
        <v>90418</v>
      </c>
      <c r="D25" s="29" t="n">
        <v>375006</v>
      </c>
      <c r="E25" s="29" t="n">
        <v>13827</v>
      </c>
      <c r="F25" s="29" t="n">
        <v>21402</v>
      </c>
      <c r="G25" s="29" t="n">
        <v>36165</v>
      </c>
      <c r="H25" s="29" t="n">
        <v>28741</v>
      </c>
      <c r="I25" s="29" t="n">
        <v>15000</v>
      </c>
      <c r="J25" s="29" t="n">
        <v>15000</v>
      </c>
      <c r="K25" s="29" t="n">
        <v>23968</v>
      </c>
      <c r="L25" s="29" t="n">
        <v>18453</v>
      </c>
      <c r="M25" s="29" t="n">
        <v>20625</v>
      </c>
    </row>
    <row r="26">
      <c r="A26" s="21" t="inlineStr">
        <is>
          <t>Long-term debt (bonds, COPs, loans, leases/financed purchases)</t>
        </is>
      </c>
      <c r="B26" s="29" t="n">
        <v>23212392</v>
      </c>
      <c r="C26" s="29" t="n">
        <v>22181119</v>
      </c>
      <c r="D26" s="29" t="n">
        <v>21120338</v>
      </c>
      <c r="E26" s="29" t="n">
        <v>20100647</v>
      </c>
      <c r="F26" s="29" t="n">
        <v>19219685</v>
      </c>
      <c r="G26" s="29" t="n">
        <v>18129809</v>
      </c>
      <c r="H26" s="29" t="n">
        <v>17196617</v>
      </c>
      <c r="I26" s="29" t="n">
        <v>16162563</v>
      </c>
      <c r="J26" s="29" t="n">
        <v>16521684</v>
      </c>
      <c r="K26" s="29" t="n">
        <v>15526985</v>
      </c>
      <c r="L26" s="29" t="n">
        <v>14064485</v>
      </c>
      <c r="M26" s="29" t="n">
        <v>13929123</v>
      </c>
    </row>
    <row r="27">
      <c r="A27" s="21" t="inlineStr">
        <is>
          <t>Net OPEB liability (retiree health)</t>
        </is>
      </c>
      <c r="B27" s="29" t="n">
        <v>1573570</v>
      </c>
      <c r="C27" s="29" t="n">
        <v>1867190</v>
      </c>
      <c r="D27" s="29" t="n">
        <v>2160810</v>
      </c>
      <c r="E27" s="29" t="n">
        <v>2454430</v>
      </c>
      <c r="F27" s="29" t="n">
        <v>2845887</v>
      </c>
      <c r="G27" s="29" t="n">
        <v>2994539</v>
      </c>
      <c r="H27" s="29" t="n">
        <v>3906161</v>
      </c>
      <c r="I27" s="29" t="n">
        <v>4887434</v>
      </c>
      <c r="J27" s="29" t="n">
        <v>0</v>
      </c>
      <c r="K27" s="29" t="n">
        <v>0</v>
      </c>
      <c r="L27" s="29" t="n">
        <v>0</v>
      </c>
      <c r="M27" s="29" t="n">
        <v>0</v>
      </c>
    </row>
    <row r="28">
      <c r="A28" s="21" t="inlineStr">
        <is>
          <t>Net pension liability (CalPERS)</t>
        </is>
      </c>
      <c r="B28" s="29" t="n">
        <v>0</v>
      </c>
      <c r="C28" s="29" t="n">
        <v>39314773</v>
      </c>
      <c r="D28" s="29" t="n">
        <v>45992107</v>
      </c>
      <c r="E28" s="29" t="n">
        <v>54843657</v>
      </c>
      <c r="F28" s="29" t="n">
        <v>61775131</v>
      </c>
      <c r="G28" s="29" t="n">
        <v>61856499</v>
      </c>
      <c r="H28" s="29" t="n">
        <v>65832700</v>
      </c>
      <c r="I28" s="29" t="n">
        <v>70374424</v>
      </c>
      <c r="J28" s="29" t="n">
        <v>48950390</v>
      </c>
      <c r="K28" s="29" t="n">
        <v>79526924</v>
      </c>
      <c r="L28" s="29" t="n">
        <v>80740039</v>
      </c>
      <c r="M28" s="29" t="n">
        <v>79676034</v>
      </c>
    </row>
    <row r="29">
      <c r="A29" s="12" t="inlineStr">
        <is>
          <t>Total liabilities</t>
        </is>
      </c>
      <c r="B29" s="24">
        <f>SUM(B22:B28)</f>
        <v/>
      </c>
      <c r="C29" s="24">
        <f>SUM(C22:C28)</f>
        <v/>
      </c>
      <c r="D29" s="24">
        <f>SUM(D22:D28)</f>
        <v/>
      </c>
      <c r="E29" s="24">
        <f>SUM(E22:E28)</f>
        <v/>
      </c>
      <c r="F29" s="24">
        <f>SUM(F22:F28)</f>
        <v/>
      </c>
      <c r="G29" s="24">
        <f>SUM(G22:G28)</f>
        <v/>
      </c>
      <c r="H29" s="24">
        <f>SUM(H22:H28)</f>
        <v/>
      </c>
      <c r="I29" s="24">
        <f>SUM(I22:I28)</f>
        <v/>
      </c>
      <c r="J29" s="24">
        <f>SUM(J22:J28)</f>
        <v/>
      </c>
      <c r="K29" s="24">
        <f>SUM(K22:K28)</f>
        <v/>
      </c>
      <c r="L29" s="24">
        <f>SUM(L22:L28)</f>
        <v/>
      </c>
      <c r="M29" s="24">
        <f>SUM(M22:M28)</f>
        <v/>
      </c>
    </row>
    <row r="30">
      <c r="A30" s="2" t="n"/>
      <c r="B30" s="2" t="n"/>
      <c r="C30" s="2" t="n"/>
      <c r="D30" s="2" t="n"/>
      <c r="E30" s="2" t="n"/>
      <c r="F30" s="2" t="n"/>
      <c r="G30" s="2" t="n"/>
      <c r="H30" s="2" t="n"/>
      <c r="I30" s="2" t="n"/>
      <c r="J30" s="2" t="n"/>
      <c r="K30" s="2" t="n"/>
      <c r="L30" s="2" t="n"/>
      <c r="M30" s="2" t="n"/>
    </row>
    <row r="31">
      <c r="A31" s="19" t="inlineStr">
        <is>
          <t>DEFERRED INFLOWS OF RESOURCES</t>
        </is>
      </c>
      <c r="B31" s="20" t="n"/>
      <c r="C31" s="20" t="n"/>
      <c r="D31" s="20" t="n"/>
      <c r="E31" s="20" t="n"/>
      <c r="F31" s="20" t="n"/>
      <c r="G31" s="20" t="n"/>
      <c r="H31" s="20" t="n"/>
      <c r="I31" s="20" t="n"/>
      <c r="J31" s="20" t="n"/>
      <c r="K31" s="20" t="n"/>
      <c r="L31" s="20" t="n"/>
      <c r="M31" s="20" t="n"/>
    </row>
    <row r="32">
      <c r="A32" s="21" t="inlineStr">
        <is>
          <t>Pension and OPEB related</t>
        </is>
      </c>
      <c r="B32" s="29" t="n">
        <v>0</v>
      </c>
      <c r="C32" s="29" t="n">
        <v>8600729</v>
      </c>
      <c r="D32" s="29" t="n">
        <v>4112085</v>
      </c>
      <c r="E32" s="29" t="n">
        <v>1982244</v>
      </c>
      <c r="F32" s="29" t="n">
        <v>906925</v>
      </c>
      <c r="G32" s="29" t="n">
        <v>2762962</v>
      </c>
      <c r="H32" s="29" t="n">
        <v>2803196</v>
      </c>
      <c r="I32" s="29" t="n">
        <v>893047</v>
      </c>
      <c r="J32" s="29" t="n">
        <v>34808663</v>
      </c>
      <c r="K32" s="29" t="n">
        <v>5658874</v>
      </c>
      <c r="L32" s="29" t="n">
        <v>3599218</v>
      </c>
      <c r="M32" s="29" t="n">
        <v>2513353</v>
      </c>
    </row>
    <row r="33">
      <c r="A33" s="21" t="inlineStr">
        <is>
          <t>Deferred gain on refunding / leases / other</t>
        </is>
      </c>
      <c r="B33" s="29" t="n">
        <v>0</v>
      </c>
      <c r="C33" s="29" t="n">
        <v>0</v>
      </c>
      <c r="D33" s="29" t="n">
        <v>0</v>
      </c>
      <c r="E33" s="29" t="n">
        <v>178732</v>
      </c>
      <c r="F33" s="29" t="n">
        <v>169325</v>
      </c>
      <c r="G33" s="29" t="n">
        <v>159918</v>
      </c>
      <c r="H33" s="29" t="n">
        <v>150511</v>
      </c>
      <c r="I33" s="29" t="n">
        <v>141104</v>
      </c>
      <c r="J33" s="29" t="n">
        <v>0</v>
      </c>
      <c r="K33" s="29" t="n">
        <v>0</v>
      </c>
      <c r="L33" s="29" t="n">
        <v>0</v>
      </c>
      <c r="M33" s="29" t="n">
        <v>0</v>
      </c>
    </row>
    <row r="34">
      <c r="A34" s="12" t="inlineStr">
        <is>
          <t>Total deferred inflows</t>
        </is>
      </c>
      <c r="B34" s="24">
        <f>SUM(B32:B33)</f>
        <v/>
      </c>
      <c r="C34" s="24">
        <f>SUM(C32:C33)</f>
        <v/>
      </c>
      <c r="D34" s="24">
        <f>SUM(D32:D33)</f>
        <v/>
      </c>
      <c r="E34" s="24">
        <f>SUM(E32:E33)</f>
        <v/>
      </c>
      <c r="F34" s="24">
        <f>SUM(F32:F33)</f>
        <v/>
      </c>
      <c r="G34" s="24">
        <f>SUM(G32:G33)</f>
        <v/>
      </c>
      <c r="H34" s="24">
        <f>SUM(H32:H33)</f>
        <v/>
      </c>
      <c r="I34" s="24">
        <f>SUM(I32:I33)</f>
        <v/>
      </c>
      <c r="J34" s="24">
        <f>SUM(J32:J33)</f>
        <v/>
      </c>
      <c r="K34" s="24">
        <f>SUM(K32:K33)</f>
        <v/>
      </c>
      <c r="L34" s="24">
        <f>SUM(L32:L33)</f>
        <v/>
      </c>
      <c r="M34" s="24">
        <f>SUM(M32:M33)</f>
        <v/>
      </c>
    </row>
    <row r="35">
      <c r="A35" s="2" t="n"/>
      <c r="B35" s="2" t="n"/>
      <c r="C35" s="2" t="n"/>
      <c r="D35" s="2" t="n"/>
      <c r="E35" s="2" t="n"/>
      <c r="F35" s="2" t="n"/>
      <c r="G35" s="2" t="n"/>
      <c r="H35" s="2" t="n"/>
      <c r="I35" s="2" t="n"/>
      <c r="J35" s="2" t="n"/>
      <c r="K35" s="2" t="n"/>
      <c r="L35" s="2" t="n"/>
      <c r="M35" s="2" t="n"/>
    </row>
    <row r="36">
      <c r="A36" s="19" t="inlineStr">
        <is>
          <t>NET POSITION</t>
        </is>
      </c>
      <c r="B36" s="20" t="n"/>
      <c r="C36" s="20" t="n"/>
      <c r="D36" s="20" t="n"/>
      <c r="E36" s="20" t="n"/>
      <c r="F36" s="20" t="n"/>
      <c r="G36" s="20" t="n"/>
      <c r="H36" s="20" t="n"/>
      <c r="I36" s="20" t="n"/>
      <c r="J36" s="20" t="n"/>
      <c r="K36" s="20" t="n"/>
      <c r="L36" s="20" t="n"/>
      <c r="M36" s="20" t="n"/>
    </row>
    <row r="37">
      <c r="A37" s="12" t="inlineStr">
        <is>
          <t>Net position (assets + deferred outflows - liabilities - deferred inflows)</t>
        </is>
      </c>
      <c r="B37" s="31">
        <f>B14+B19-B29-B34</f>
        <v/>
      </c>
      <c r="C37" s="31">
        <f>C14+C19-C29-C34</f>
        <v/>
      </c>
      <c r="D37" s="31">
        <f>D14+D19-D29-D34</f>
        <v/>
      </c>
      <c r="E37" s="31">
        <f>E14+E19-E29-E34</f>
        <v/>
      </c>
      <c r="F37" s="31">
        <f>F14+F19-F29-F34</f>
        <v/>
      </c>
      <c r="G37" s="31">
        <f>G14+G19-G29-G34</f>
        <v/>
      </c>
      <c r="H37" s="31">
        <f>H14+H19-H29-H34</f>
        <v/>
      </c>
      <c r="I37" s="31">
        <f>I14+I19-I29-I34</f>
        <v/>
      </c>
      <c r="J37" s="31">
        <f>J14+J19-J29-J34</f>
        <v/>
      </c>
      <c r="K37" s="31">
        <f>K14+K19-K29-K34</f>
        <v/>
      </c>
      <c r="L37" s="31">
        <f>L14+L19-L29-L34</f>
        <v/>
      </c>
      <c r="M37" s="31">
        <f>M14+M19-M29-M34</f>
        <v/>
      </c>
    </row>
    <row r="38">
      <c r="A38" s="21" t="inlineStr">
        <is>
          <t>of which: Net investment in capital assets</t>
        </is>
      </c>
      <c r="B38" s="29" t="n">
        <v>63535927</v>
      </c>
      <c r="C38" s="29" t="n">
        <v>62485398</v>
      </c>
      <c r="D38" s="29" t="n">
        <v>61687197</v>
      </c>
      <c r="E38" s="29" t="n">
        <v>60263647</v>
      </c>
      <c r="F38" s="29" t="n">
        <v>58942988</v>
      </c>
      <c r="G38" s="29" t="n">
        <v>55950869</v>
      </c>
      <c r="H38" s="29" t="n">
        <v>54638042</v>
      </c>
      <c r="I38" s="29" t="n">
        <v>53652456</v>
      </c>
      <c r="J38" s="29" t="n">
        <v>53377263</v>
      </c>
      <c r="K38" s="29" t="n">
        <v>53389633</v>
      </c>
      <c r="L38" s="29" t="n">
        <v>56361576</v>
      </c>
      <c r="M38" s="29" t="n">
        <v>61458283</v>
      </c>
    </row>
    <row r="39">
      <c r="A39" s="21" t="inlineStr">
        <is>
          <t>of which: Restricted</t>
        </is>
      </c>
      <c r="B39" s="29" t="n">
        <v>11556030</v>
      </c>
      <c r="C39" s="29" t="n">
        <v>15211282</v>
      </c>
      <c r="D39" s="29" t="n">
        <v>16401240</v>
      </c>
      <c r="E39" s="29" t="n">
        <v>16468323</v>
      </c>
      <c r="F39" s="29" t="n">
        <v>17041501</v>
      </c>
      <c r="G39" s="29" t="n">
        <v>14225506</v>
      </c>
      <c r="H39" s="29" t="n">
        <v>15240589</v>
      </c>
      <c r="I39" s="29" t="n">
        <v>15859381</v>
      </c>
      <c r="J39" s="29" t="n">
        <v>16029304</v>
      </c>
      <c r="K39" s="29" t="n">
        <v>17767175</v>
      </c>
      <c r="L39" s="29" t="n">
        <v>21667676</v>
      </c>
      <c r="M39" s="29" t="n">
        <v>25607946</v>
      </c>
    </row>
    <row r="40">
      <c r="A40" s="21" t="inlineStr">
        <is>
          <t>of which: Unrestricted</t>
        </is>
      </c>
      <c r="B40" s="29" t="n">
        <v>-3744215</v>
      </c>
      <c r="C40" s="29" t="n">
        <v>-48590298</v>
      </c>
      <c r="D40" s="29" t="n">
        <v>-46508497</v>
      </c>
      <c r="E40" s="29" t="n">
        <v>-45697093</v>
      </c>
      <c r="F40" s="29" t="n">
        <v>-50908159</v>
      </c>
      <c r="G40" s="29" t="n">
        <v>-54698365</v>
      </c>
      <c r="H40" s="29" t="n">
        <v>-59443810</v>
      </c>
      <c r="I40" s="29" t="n">
        <v>-55481269</v>
      </c>
      <c r="J40" s="29" t="n">
        <v>-53818045</v>
      </c>
      <c r="K40" s="29" t="n">
        <v>-31271761</v>
      </c>
      <c r="L40" s="29" t="n">
        <v>-30236783</v>
      </c>
      <c r="M40" s="29" t="n">
        <v>-35751246</v>
      </c>
    </row>
    <row r="41">
      <c r="A41" s="2" t="n"/>
      <c r="B41" s="2" t="n"/>
      <c r="C41" s="2" t="n"/>
      <c r="D41" s="2" t="n"/>
      <c r="E41" s="2" t="n"/>
      <c r="F41" s="2" t="n"/>
      <c r="G41" s="2" t="n"/>
      <c r="H41" s="2" t="n"/>
      <c r="I41" s="2" t="n"/>
      <c r="J41" s="2" t="n"/>
      <c r="K41" s="2" t="n"/>
      <c r="L41" s="2" t="n"/>
      <c r="M41" s="2" t="n"/>
    </row>
    <row r="42">
      <c r="A42" s="19" t="inlineStr">
        <is>
          <t>KEY MEASURES</t>
        </is>
      </c>
      <c r="B42" s="20" t="n"/>
      <c r="C42" s="20" t="n"/>
      <c r="D42" s="20" t="n"/>
      <c r="E42" s="20" t="n"/>
      <c r="F42" s="20" t="n"/>
      <c r="G42" s="20" t="n"/>
      <c r="H42" s="20" t="n"/>
      <c r="I42" s="20" t="n"/>
      <c r="J42" s="20" t="n"/>
      <c r="K42" s="20" t="n"/>
      <c r="L42" s="20" t="n"/>
      <c r="M42" s="20" t="n"/>
    </row>
    <row r="43">
      <c r="A43" s="12" t="inlineStr">
        <is>
          <t>Capital assets, net (buildings, equipment, infrastructure, land, CIP)</t>
        </is>
      </c>
      <c r="B43" s="27">
        <f>B12+B13</f>
        <v/>
      </c>
      <c r="C43" s="27">
        <f>C12+C13</f>
        <v/>
      </c>
      <c r="D43" s="27">
        <f>D12+D13</f>
        <v/>
      </c>
      <c r="E43" s="27">
        <f>E12+E13</f>
        <v/>
      </c>
      <c r="F43" s="27">
        <f>F12+F13</f>
        <v/>
      </c>
      <c r="G43" s="27">
        <f>G12+G13</f>
        <v/>
      </c>
      <c r="H43" s="27">
        <f>H12+H13</f>
        <v/>
      </c>
      <c r="I43" s="27">
        <f>I12+I13</f>
        <v/>
      </c>
      <c r="J43" s="27">
        <f>J12+J13</f>
        <v/>
      </c>
      <c r="K43" s="27">
        <f>K12+K13</f>
        <v/>
      </c>
      <c r="L43" s="27">
        <f>L12+L13</f>
        <v/>
      </c>
      <c r="M43" s="27">
        <f>M12+M13</f>
        <v/>
      </c>
    </row>
    <row r="44">
      <c r="A44" s="13" t="inlineStr">
        <is>
          <t>Long-term debt + compensated absences + claims</t>
        </is>
      </c>
      <c r="B44" s="22">
        <f>B26+B24+B25</f>
        <v/>
      </c>
      <c r="C44" s="22">
        <f>C26+C24+C25</f>
        <v/>
      </c>
      <c r="D44" s="22">
        <f>D26+D24+D25</f>
        <v/>
      </c>
      <c r="E44" s="22">
        <f>E26+E24+E25</f>
        <v/>
      </c>
      <c r="F44" s="22">
        <f>F26+F24+F25</f>
        <v/>
      </c>
      <c r="G44" s="22">
        <f>G26+G24+G25</f>
        <v/>
      </c>
      <c r="H44" s="22">
        <f>H26+H24+H25</f>
        <v/>
      </c>
      <c r="I44" s="22">
        <f>I26+I24+I25</f>
        <v/>
      </c>
      <c r="J44" s="22">
        <f>J26+J24+J25</f>
        <v/>
      </c>
      <c r="K44" s="22">
        <f>K26+K24+K25</f>
        <v/>
      </c>
      <c r="L44" s="22">
        <f>L26+L24+L25</f>
        <v/>
      </c>
      <c r="M44" s="22">
        <f>M26+M24+M25</f>
        <v/>
      </c>
    </row>
    <row r="45">
      <c r="A45" s="13" t="inlineStr">
        <is>
          <t>Net pension + OPEB liability</t>
        </is>
      </c>
      <c r="B45" s="22">
        <f>B28+B27</f>
        <v/>
      </c>
      <c r="C45" s="22">
        <f>C28+C27</f>
        <v/>
      </c>
      <c r="D45" s="22">
        <f>D28+D27</f>
        <v/>
      </c>
      <c r="E45" s="22">
        <f>E28+E27</f>
        <v/>
      </c>
      <c r="F45" s="22">
        <f>F28+F27</f>
        <v/>
      </c>
      <c r="G45" s="22">
        <f>G28+G27</f>
        <v/>
      </c>
      <c r="H45" s="22">
        <f>H28+H27</f>
        <v/>
      </c>
      <c r="I45" s="22">
        <f>I28+I27</f>
        <v/>
      </c>
      <c r="J45" s="22">
        <f>J28+J27</f>
        <v/>
      </c>
      <c r="K45" s="22">
        <f>K28+K27</f>
        <v/>
      </c>
      <c r="L45" s="22">
        <f>L28+L27</f>
        <v/>
      </c>
      <c r="M45" s="22">
        <f>M28+M27</f>
        <v/>
      </c>
    </row>
    <row r="46">
      <c r="A46" s="13" t="inlineStr">
        <is>
          <t>Net pension/OPEB deferrals (outflows - inflows)</t>
        </is>
      </c>
      <c r="B46" s="22">
        <f>B17-B32</f>
        <v/>
      </c>
      <c r="C46" s="22">
        <f>C17-C32</f>
        <v/>
      </c>
      <c r="D46" s="22">
        <f>D17-D32</f>
        <v/>
      </c>
      <c r="E46" s="22">
        <f>E17-E32</f>
        <v/>
      </c>
      <c r="F46" s="22">
        <f>F17-F32</f>
        <v/>
      </c>
      <c r="G46" s="22">
        <f>G17-G32</f>
        <v/>
      </c>
      <c r="H46" s="22">
        <f>H17-H32</f>
        <v/>
      </c>
      <c r="I46" s="22">
        <f>I17-I32</f>
        <v/>
      </c>
      <c r="J46" s="22">
        <f>J17-J32</f>
        <v/>
      </c>
      <c r="K46" s="22">
        <f>K17-K32</f>
        <v/>
      </c>
      <c r="L46" s="22">
        <f>L17-L32</f>
        <v/>
      </c>
      <c r="M46" s="22">
        <f>M17-M32</f>
        <v/>
      </c>
    </row>
    <row r="47">
      <c r="A47" s="13" t="inlineStr">
        <is>
          <t>Net position excluding pension/OPEB liability and deferrals</t>
        </is>
      </c>
      <c r="B47" s="22">
        <f>B37+B45-B46</f>
        <v/>
      </c>
      <c r="C47" s="22">
        <f>C37+C45-C46</f>
        <v/>
      </c>
      <c r="D47" s="22">
        <f>D37+D45-D46</f>
        <v/>
      </c>
      <c r="E47" s="22">
        <f>E37+E45-E46</f>
        <v/>
      </c>
      <c r="F47" s="22">
        <f>F37+F45-F46</f>
        <v/>
      </c>
      <c r="G47" s="22">
        <f>G37+G45-G46</f>
        <v/>
      </c>
      <c r="H47" s="22">
        <f>H37+H45-H46</f>
        <v/>
      </c>
      <c r="I47" s="22">
        <f>I37+I45-I46</f>
        <v/>
      </c>
      <c r="J47" s="22">
        <f>J37+J45-J46</f>
        <v/>
      </c>
      <c r="K47" s="22">
        <f>K37+K45-K46</f>
        <v/>
      </c>
      <c r="L47" s="22">
        <f>L37+L45-L46</f>
        <v/>
      </c>
      <c r="M47" s="22">
        <f>M37+M45-M46</f>
        <v/>
      </c>
    </row>
    <row r="48">
      <c r="A48" s="13" t="inlineStr">
        <is>
          <t>Change in net position vs. prior year (incl. restatements)</t>
        </is>
      </c>
      <c r="B48" s="22">
        <f>0</f>
        <v/>
      </c>
      <c r="C48" s="22">
        <f>C37-B37</f>
        <v/>
      </c>
      <c r="D48" s="22">
        <f>D37-C37</f>
        <v/>
      </c>
      <c r="E48" s="22">
        <f>E37-D37</f>
        <v/>
      </c>
      <c r="F48" s="22">
        <f>F37-E37</f>
        <v/>
      </c>
      <c r="G48" s="22">
        <f>G37-F37</f>
        <v/>
      </c>
      <c r="H48" s="22">
        <f>H37-G37</f>
        <v/>
      </c>
      <c r="I48" s="22">
        <f>I37-H37</f>
        <v/>
      </c>
      <c r="J48" s="22">
        <f>J37-I37</f>
        <v/>
      </c>
      <c r="K48" s="22">
        <f>K37-J37</f>
        <v/>
      </c>
      <c r="L48" s="22">
        <f>L37-K37</f>
        <v/>
      </c>
      <c r="M48" s="22">
        <f>M37-L37</f>
        <v/>
      </c>
    </row>
    <row r="49">
      <c r="A49" s="2" t="n"/>
      <c r="B49" s="2" t="n"/>
      <c r="C49" s="2" t="n"/>
      <c r="D49" s="2" t="n"/>
      <c r="E49" s="2" t="n"/>
      <c r="F49" s="2" t="n"/>
      <c r="G49" s="2" t="n"/>
      <c r="H49" s="2" t="n"/>
      <c r="I49" s="2" t="n"/>
      <c r="J49" s="2" t="n"/>
      <c r="K49" s="2" t="n"/>
      <c r="L49" s="2" t="n"/>
      <c r="M49" s="2" t="n"/>
    </row>
    <row r="50">
      <c r="A50" s="13" t="inlineStr">
        <is>
          <t>Check: total assets per ACFR</t>
        </is>
      </c>
      <c r="B50" s="29" t="n">
        <v>102090999</v>
      </c>
      <c r="C50" s="29" t="n">
        <v>101267444</v>
      </c>
      <c r="D50" s="29" t="n">
        <v>106637421</v>
      </c>
      <c r="E50" s="29" t="n">
        <v>104308690</v>
      </c>
      <c r="F50" s="29" t="n">
        <v>103551544</v>
      </c>
      <c r="G50" s="29" t="n">
        <v>97208491</v>
      </c>
      <c r="H50" s="29" t="n">
        <v>100652255</v>
      </c>
      <c r="I50" s="29" t="n">
        <v>104880954</v>
      </c>
      <c r="J50" s="29" t="n">
        <v>114021628</v>
      </c>
      <c r="K50" s="29" t="n">
        <v>117460978</v>
      </c>
      <c r="L50" s="29" t="n">
        <v>123338238</v>
      </c>
      <c r="M50" s="29" t="n">
        <v>134091768</v>
      </c>
    </row>
    <row r="51">
      <c r="A51" s="13" t="inlineStr">
        <is>
          <t>Check: total liabilities per ACFR</t>
        </is>
      </c>
      <c r="B51" s="29" t="n">
        <v>30743257</v>
      </c>
      <c r="C51" s="29" t="n">
        <v>67261231</v>
      </c>
      <c r="D51" s="29" t="n">
        <v>78594476</v>
      </c>
      <c r="E51" s="29" t="n">
        <v>87047462</v>
      </c>
      <c r="F51" s="29" t="n">
        <v>95256136</v>
      </c>
      <c r="G51" s="29" t="n">
        <v>94750294</v>
      </c>
      <c r="H51" s="29" t="n">
        <v>103455500</v>
      </c>
      <c r="I51" s="29" t="n">
        <v>106534172</v>
      </c>
      <c r="J51" s="29" t="n">
        <v>79944601</v>
      </c>
      <c r="K51" s="29" t="n">
        <v>105102306</v>
      </c>
      <c r="L51" s="29" t="n">
        <v>104400580</v>
      </c>
      <c r="M51" s="29" t="n">
        <v>105824615</v>
      </c>
    </row>
    <row r="52">
      <c r="A52" s="13" t="inlineStr">
        <is>
          <t>Check: net position per ACFR</t>
        </is>
      </c>
      <c r="B52" s="29" t="n">
        <v>71347742</v>
      </c>
      <c r="C52" s="29" t="n">
        <v>29106382</v>
      </c>
      <c r="D52" s="29" t="n">
        <v>31579940</v>
      </c>
      <c r="E52" s="29" t="n">
        <v>31034877</v>
      </c>
      <c r="F52" s="29" t="n">
        <v>25076330</v>
      </c>
      <c r="G52" s="29" t="n">
        <v>15478010</v>
      </c>
      <c r="H52" s="29" t="n">
        <v>10434821</v>
      </c>
      <c r="I52" s="29" t="n">
        <v>14030568</v>
      </c>
      <c r="J52" s="29" t="n">
        <v>15588522</v>
      </c>
      <c r="K52" s="29" t="n">
        <v>39885047</v>
      </c>
      <c r="L52" s="29" t="n">
        <v>47792469</v>
      </c>
      <c r="M52" s="29" t="n">
        <v>51314983</v>
      </c>
    </row>
    <row r="53">
      <c r="A53" s="13" t="inlineStr">
        <is>
          <t>Check: assets - ACFR (should be 0)</t>
        </is>
      </c>
      <c r="B53" s="35">
        <f>B14-B50</f>
        <v/>
      </c>
      <c r="C53" s="35">
        <f>C14-C50</f>
        <v/>
      </c>
      <c r="D53" s="35">
        <f>D14-D50</f>
        <v/>
      </c>
      <c r="E53" s="35">
        <f>E14-E50</f>
        <v/>
      </c>
      <c r="F53" s="35">
        <f>F14-F50</f>
        <v/>
      </c>
      <c r="G53" s="35">
        <f>G14-G50</f>
        <v/>
      </c>
      <c r="H53" s="35">
        <f>H14-H50</f>
        <v/>
      </c>
      <c r="I53" s="35">
        <f>I14-I50</f>
        <v/>
      </c>
      <c r="J53" s="35">
        <f>J14-J50</f>
        <v/>
      </c>
      <c r="K53" s="35">
        <f>K14-K50</f>
        <v/>
      </c>
      <c r="L53" s="35">
        <f>L14-L50</f>
        <v/>
      </c>
      <c r="M53" s="35">
        <f>M14-M50</f>
        <v/>
      </c>
    </row>
    <row r="54">
      <c r="A54" s="13" t="inlineStr">
        <is>
          <t>Check: liabilities - ACFR (should be 0)</t>
        </is>
      </c>
      <c r="B54" s="35">
        <f>B29-B51</f>
        <v/>
      </c>
      <c r="C54" s="35">
        <f>C29-C51</f>
        <v/>
      </c>
      <c r="D54" s="35">
        <f>D29-D51</f>
        <v/>
      </c>
      <c r="E54" s="35">
        <f>E29-E51</f>
        <v/>
      </c>
      <c r="F54" s="35">
        <f>F29-F51</f>
        <v/>
      </c>
      <c r="G54" s="35">
        <f>G29-G51</f>
        <v/>
      </c>
      <c r="H54" s="35">
        <f>H29-H51</f>
        <v/>
      </c>
      <c r="I54" s="35">
        <f>I29-I51</f>
        <v/>
      </c>
      <c r="J54" s="35">
        <f>J29-J51</f>
        <v/>
      </c>
      <c r="K54" s="35">
        <f>K29-K51</f>
        <v/>
      </c>
      <c r="L54" s="35">
        <f>L29-L51</f>
        <v/>
      </c>
      <c r="M54" s="35">
        <f>M29-M51</f>
        <v/>
      </c>
    </row>
    <row r="55">
      <c r="A55" s="13" t="inlineStr">
        <is>
          <t>Check: net position - ACFR (should be 0)</t>
        </is>
      </c>
      <c r="B55" s="35">
        <f>B37-B52</f>
        <v/>
      </c>
      <c r="C55" s="35">
        <f>C37-C52</f>
        <v/>
      </c>
      <c r="D55" s="35">
        <f>D37-D52</f>
        <v/>
      </c>
      <c r="E55" s="35">
        <f>E37-E52</f>
        <v/>
      </c>
      <c r="F55" s="35">
        <f>F37-F52</f>
        <v/>
      </c>
      <c r="G55" s="35">
        <f>G37-G52</f>
        <v/>
      </c>
      <c r="H55" s="35">
        <f>H37-H52</f>
        <v/>
      </c>
      <c r="I55" s="35">
        <f>I37-I52</f>
        <v/>
      </c>
      <c r="J55" s="35">
        <f>J37-J52</f>
        <v/>
      </c>
      <c r="K55" s="35">
        <f>K37-K52</f>
        <v/>
      </c>
      <c r="L55" s="35">
        <f>L37-L52</f>
        <v/>
      </c>
      <c r="M55" s="35">
        <f>M37-M52</f>
        <v/>
      </c>
    </row>
    <row r="56">
      <c r="A56" s="13" t="inlineStr">
        <is>
          <t>Check: net position components - total (should be 0)</t>
        </is>
      </c>
      <c r="B56" s="35">
        <f>B38+B39+B40-B37</f>
        <v/>
      </c>
      <c r="C56" s="35">
        <f>C38+C39+C40-C37</f>
        <v/>
      </c>
      <c r="D56" s="35">
        <f>D38+D39+D40-D37</f>
        <v/>
      </c>
      <c r="E56" s="35">
        <f>E38+E39+E40-E37</f>
        <v/>
      </c>
      <c r="F56" s="35">
        <f>F38+F39+F40-F37</f>
        <v/>
      </c>
      <c r="G56" s="35">
        <f>G38+G39+G40-G37</f>
        <v/>
      </c>
      <c r="H56" s="35">
        <f>H38+H39+H40-H37</f>
        <v/>
      </c>
      <c r="I56" s="35">
        <f>I38+I39+I40-I37</f>
        <v/>
      </c>
      <c r="J56" s="35">
        <f>J38+J39+J40-J37</f>
        <v/>
      </c>
      <c r="K56" s="35">
        <f>K38+K39+K40-K37</f>
        <v/>
      </c>
      <c r="L56" s="35">
        <f>L38+L39+L40-L37</f>
        <v/>
      </c>
      <c r="M56" s="35">
        <f>M38+M39+M40-M37</f>
        <v/>
      </c>
    </row>
    <row r="57">
      <c r="A57" s="2" t="n"/>
      <c r="B57" s="2" t="n"/>
      <c r="C57" s="2" t="n"/>
      <c r="D57" s="2" t="n"/>
      <c r="E57" s="2" t="n"/>
      <c r="F57" s="2" t="n"/>
      <c r="G57" s="2" t="n"/>
      <c r="H57" s="2" t="n"/>
      <c r="I57" s="2" t="n"/>
      <c r="J57" s="2" t="n"/>
      <c r="K57" s="2" t="n"/>
      <c r="L57" s="2" t="n"/>
      <c r="M57" s="2" t="n"/>
    </row>
    <row r="58">
      <c r="A58" s="19" t="inlineStr">
        <is>
          <t>LONG-TERM LIABILITIES: DUE WITHIN ONE YEAR / DUE IN MORE THAN ONE YEAR (GASB 34 classification)</t>
        </is>
      </c>
      <c r="B58" s="20" t="n"/>
      <c r="C58" s="20" t="n"/>
      <c r="D58" s="20" t="n"/>
      <c r="E58" s="20" t="n"/>
      <c r="F58" s="20" t="n"/>
      <c r="G58" s="20" t="n"/>
      <c r="H58" s="20" t="n"/>
      <c r="I58" s="20" t="n"/>
      <c r="J58" s="20" t="n"/>
      <c r="K58" s="20" t="n"/>
      <c r="L58" s="20" t="n"/>
      <c r="M58" s="20" t="n"/>
    </row>
    <row r="59">
      <c r="A59" s="21" t="inlineStr">
        <is>
          <t>Compensated absences - due within one year</t>
        </is>
      </c>
      <c r="B59" s="29" t="n">
        <v>1136268</v>
      </c>
      <c r="C59" s="29" t="n">
        <v>1037005</v>
      </c>
      <c r="D59" s="29" t="n">
        <v>951000</v>
      </c>
      <c r="E59" s="29" t="n">
        <v>1080577</v>
      </c>
      <c r="F59" s="29" t="n">
        <v>1218491</v>
      </c>
      <c r="G59" s="29" t="n">
        <v>1317245</v>
      </c>
      <c r="H59" s="29" t="n">
        <v>1548397</v>
      </c>
      <c r="I59" s="29" t="n">
        <v>1709550</v>
      </c>
      <c r="J59" s="29" t="n">
        <v>1627935</v>
      </c>
      <c r="K59" s="29" t="n">
        <v>1115415</v>
      </c>
      <c r="L59" s="29" t="n">
        <v>1218427</v>
      </c>
      <c r="M59" s="29" t="n">
        <v>1782153</v>
      </c>
    </row>
    <row r="60">
      <c r="A60" s="21" t="inlineStr">
        <is>
          <t>Compensated absences - due in more than one year</t>
        </is>
      </c>
      <c r="B60" s="22">
        <f>B24-B59</f>
        <v/>
      </c>
      <c r="C60" s="22">
        <f>C24-C59</f>
        <v/>
      </c>
      <c r="D60" s="22">
        <f>D24-D59</f>
        <v/>
      </c>
      <c r="E60" s="22">
        <f>E24-E59</f>
        <v/>
      </c>
      <c r="F60" s="22">
        <f>F24-F59</f>
        <v/>
      </c>
      <c r="G60" s="22">
        <f>G24-G59</f>
        <v/>
      </c>
      <c r="H60" s="22">
        <f>H24-H59</f>
        <v/>
      </c>
      <c r="I60" s="22">
        <f>I24-I59</f>
        <v/>
      </c>
      <c r="J60" s="22">
        <f>J24-J59</f>
        <v/>
      </c>
      <c r="K60" s="22">
        <f>K24-K59</f>
        <v/>
      </c>
      <c r="L60" s="22">
        <f>L24-L59</f>
        <v/>
      </c>
      <c r="M60" s="22">
        <f>M24-M59</f>
        <v/>
      </c>
    </row>
    <row r="61">
      <c r="A61" s="21" t="inlineStr">
        <is>
          <t>Claims payable - due within one year</t>
        </is>
      </c>
      <c r="B61" s="29" t="n">
        <v>12500</v>
      </c>
      <c r="C61" s="29" t="n">
        <v>17600</v>
      </c>
      <c r="D61" s="29" t="n">
        <v>151106</v>
      </c>
      <c r="E61" s="29" t="n">
        <v>5571</v>
      </c>
      <c r="F61" s="29" t="n">
        <v>8623</v>
      </c>
      <c r="G61" s="29" t="n">
        <v>14571</v>
      </c>
      <c r="H61" s="29" t="n">
        <v>11580</v>
      </c>
      <c r="I61" s="29" t="n">
        <v>6000</v>
      </c>
      <c r="J61" s="29" t="n">
        <v>0</v>
      </c>
      <c r="K61" s="29" t="n">
        <v>0</v>
      </c>
      <c r="L61" s="29" t="n">
        <v>0</v>
      </c>
      <c r="M61" s="29" t="n">
        <v>0</v>
      </c>
    </row>
    <row r="62">
      <c r="A62" s="21" t="inlineStr">
        <is>
          <t>Claims payable - due in more than one year</t>
        </is>
      </c>
      <c r="B62" s="22">
        <f>B25-B61</f>
        <v/>
      </c>
      <c r="C62" s="22">
        <f>C25-C61</f>
        <v/>
      </c>
      <c r="D62" s="22">
        <f>D25-D61</f>
        <v/>
      </c>
      <c r="E62" s="22">
        <f>E25-E61</f>
        <v/>
      </c>
      <c r="F62" s="22">
        <f>F25-F61</f>
        <v/>
      </c>
      <c r="G62" s="22">
        <f>G25-G61</f>
        <v/>
      </c>
      <c r="H62" s="22">
        <f>H25-H61</f>
        <v/>
      </c>
      <c r="I62" s="22">
        <f>I25-I61</f>
        <v/>
      </c>
      <c r="J62" s="22">
        <f>J25-J61</f>
        <v/>
      </c>
      <c r="K62" s="22">
        <f>K25-K61</f>
        <v/>
      </c>
      <c r="L62" s="22">
        <f>L25-L61</f>
        <v/>
      </c>
      <c r="M62" s="22">
        <f>M25-M61</f>
        <v/>
      </c>
    </row>
    <row r="63">
      <c r="A63" s="21" t="inlineStr">
        <is>
          <t>Long-term debt - due within one year</t>
        </is>
      </c>
      <c r="B63" s="29" t="n">
        <v>1031273</v>
      </c>
      <c r="C63" s="29" t="n">
        <v>1060781</v>
      </c>
      <c r="D63" s="29" t="n">
        <v>1089599</v>
      </c>
      <c r="E63" s="29" t="n">
        <v>877924</v>
      </c>
      <c r="F63" s="29" t="n">
        <v>1181134</v>
      </c>
      <c r="G63" s="29" t="n">
        <v>1154302</v>
      </c>
      <c r="H63" s="29" t="n">
        <v>1010505</v>
      </c>
      <c r="I63" s="29" t="n">
        <v>847435</v>
      </c>
      <c r="J63" s="29" t="n">
        <v>1087738</v>
      </c>
      <c r="K63" s="29" t="n">
        <v>986911</v>
      </c>
      <c r="L63" s="29" t="n">
        <v>968015</v>
      </c>
      <c r="M63" s="29" t="n">
        <v>1243191</v>
      </c>
    </row>
    <row r="64">
      <c r="A64" s="21" t="inlineStr">
        <is>
          <t>Long-term debt - due in more than one year</t>
        </is>
      </c>
      <c r="B64" s="22">
        <f>B26-B63</f>
        <v/>
      </c>
      <c r="C64" s="22">
        <f>C26-C63</f>
        <v/>
      </c>
      <c r="D64" s="22">
        <f>D26-D63</f>
        <v/>
      </c>
      <c r="E64" s="22">
        <f>E26-E63</f>
        <v/>
      </c>
      <c r="F64" s="22">
        <f>F26-F63</f>
        <v/>
      </c>
      <c r="G64" s="22">
        <f>G26-G63</f>
        <v/>
      </c>
      <c r="H64" s="22">
        <f>H26-H63</f>
        <v/>
      </c>
      <c r="I64" s="22">
        <f>I26-I63</f>
        <v/>
      </c>
      <c r="J64" s="22">
        <f>J26-J63</f>
        <v/>
      </c>
      <c r="K64" s="22">
        <f>K26-K63</f>
        <v/>
      </c>
      <c r="L64" s="22">
        <f>L26-L63</f>
        <v/>
      </c>
      <c r="M64" s="22">
        <f>M26-M63</f>
        <v/>
      </c>
    </row>
    <row r="65">
      <c r="A65" s="21" t="inlineStr">
        <is>
          <t>Net pension liability and OPEB - due in more than one year</t>
        </is>
      </c>
      <c r="B65" s="22">
        <f>B28+B27</f>
        <v/>
      </c>
      <c r="C65" s="22">
        <f>C28+C27</f>
        <v/>
      </c>
      <c r="D65" s="22">
        <f>D28+D27</f>
        <v/>
      </c>
      <c r="E65" s="22">
        <f>E28+E27</f>
        <v/>
      </c>
      <c r="F65" s="22">
        <f>F28+F27</f>
        <v/>
      </c>
      <c r="G65" s="22">
        <f>G28+G27</f>
        <v/>
      </c>
      <c r="H65" s="22">
        <f>H28+H27</f>
        <v/>
      </c>
      <c r="I65" s="22">
        <f>I28+I27</f>
        <v/>
      </c>
      <c r="J65" s="22">
        <f>J28+J27</f>
        <v/>
      </c>
      <c r="K65" s="22">
        <f>K28+K27</f>
        <v/>
      </c>
      <c r="L65" s="22">
        <f>L28+L27</f>
        <v/>
      </c>
      <c r="M65" s="22">
        <f>M28+M27</f>
        <v/>
      </c>
    </row>
    <row r="66">
      <c r="A66" s="12" t="inlineStr">
        <is>
          <t>Total long-term liabilities due within one year</t>
        </is>
      </c>
      <c r="B66" s="24">
        <f>B59+B61+B63</f>
        <v/>
      </c>
      <c r="C66" s="24">
        <f>C59+C61+C63</f>
        <v/>
      </c>
      <c r="D66" s="24">
        <f>D59+D61+D63</f>
        <v/>
      </c>
      <c r="E66" s="24">
        <f>E59+E61+E63</f>
        <v/>
      </c>
      <c r="F66" s="24">
        <f>F59+F61+F63</f>
        <v/>
      </c>
      <c r="G66" s="24">
        <f>G59+G61+G63</f>
        <v/>
      </c>
      <c r="H66" s="24">
        <f>H59+H61+H63</f>
        <v/>
      </c>
      <c r="I66" s="24">
        <f>I59+I61+I63</f>
        <v/>
      </c>
      <c r="J66" s="24">
        <f>J59+J61+J63</f>
        <v/>
      </c>
      <c r="K66" s="24">
        <f>K59+K61+K63</f>
        <v/>
      </c>
      <c r="L66" s="24">
        <f>L59+L61+L63</f>
        <v/>
      </c>
      <c r="M66" s="24">
        <f>M59+M61+M63</f>
        <v/>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375623"/>
    <outlinePr summaryBelow="1" summaryRight="1"/>
    <pageSetUpPr/>
  </sheetPr>
  <dimension ref="A1:M8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CITYWIDE (governmental activities)</t>
        </is>
      </c>
      <c r="B1" s="2" t="n"/>
      <c r="C1" s="2" t="n"/>
      <c r="D1" s="2" t="n"/>
      <c r="E1" s="2" t="n"/>
      <c r="F1" s="2" t="n"/>
      <c r="G1" s="2" t="n"/>
      <c r="H1" s="2" t="n"/>
      <c r="I1" s="2" t="n"/>
      <c r="J1" s="2" t="n"/>
      <c r="K1" s="2" t="n"/>
      <c r="L1" s="2" t="n"/>
      <c r="M1" s="2" t="n"/>
    </row>
    <row r="2">
      <c r="A2" s="12" t="inlineStr">
        <is>
          <t>Statement of Activities / Changes in Net Position, $ (full accrual, GASB 34)</t>
        </is>
      </c>
      <c r="B2" s="2" t="n"/>
      <c r="C2" s="2" t="n"/>
      <c r="D2" s="2" t="n"/>
      <c r="E2" s="2" t="n"/>
      <c r="F2" s="2" t="n"/>
      <c r="G2" s="2" t="n"/>
      <c r="H2" s="2" t="n"/>
      <c r="I2" s="2" t="n"/>
      <c r="J2" s="2" t="n"/>
      <c r="K2" s="2" t="n"/>
      <c r="L2" s="2" t="n"/>
      <c r="M2" s="2" t="n"/>
    </row>
    <row r="3">
      <c r="A3" s="7" t="inlineStr">
        <is>
          <t>Expenses by function, program revenues, general revenues and change in net position. Source: ACFR statistical table 'Changes in Net Position' (FY2025 ACFR Table 2 for FY2016-FY2025; FY2017 CAFR table for FY2014-FY2015). Business-type activities excluded.</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Fiscal year ended 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EXPENSES</t>
        </is>
      </c>
      <c r="B7" s="20" t="n"/>
      <c r="C7" s="20" t="n"/>
      <c r="D7" s="20" t="n"/>
      <c r="E7" s="20" t="n"/>
      <c r="F7" s="20" t="n"/>
      <c r="G7" s="20" t="n"/>
      <c r="H7" s="20" t="n"/>
      <c r="I7" s="20" t="n"/>
      <c r="J7" s="20" t="n"/>
      <c r="K7" s="20" t="n"/>
      <c r="L7" s="20" t="n"/>
      <c r="M7" s="20" t="n"/>
    </row>
    <row r="8">
      <c r="A8" s="21" t="inlineStr">
        <is>
          <t>General government</t>
        </is>
      </c>
      <c r="B8" s="29" t="n">
        <v>5637571</v>
      </c>
      <c r="C8" s="29" t="n">
        <v>4218763</v>
      </c>
      <c r="D8" s="29" t="n">
        <v>4791816</v>
      </c>
      <c r="E8" s="29" t="n">
        <v>5138555</v>
      </c>
      <c r="F8" s="29" t="n">
        <v>5758535</v>
      </c>
      <c r="G8" s="29" t="n">
        <v>6723883</v>
      </c>
      <c r="H8" s="29" t="n">
        <v>6853922</v>
      </c>
      <c r="I8" s="29" t="n">
        <v>5811523</v>
      </c>
      <c r="J8" s="29" t="n">
        <v>7884210</v>
      </c>
      <c r="K8" s="29" t="n">
        <v>4892654</v>
      </c>
      <c r="L8" s="29" t="n">
        <v>8271822</v>
      </c>
      <c r="M8" s="29" t="n">
        <v>8947901</v>
      </c>
    </row>
    <row r="9">
      <c r="A9" s="21" t="inlineStr">
        <is>
          <t>Public works</t>
        </is>
      </c>
      <c r="B9" s="29" t="n">
        <v>5444248</v>
      </c>
      <c r="C9" s="29" t="n">
        <v>5576671</v>
      </c>
      <c r="D9" s="29" t="n">
        <v>5276434</v>
      </c>
      <c r="E9" s="29" t="n">
        <v>7296766</v>
      </c>
      <c r="F9" s="29" t="n">
        <v>8956800</v>
      </c>
      <c r="G9" s="29" t="n">
        <v>8800985</v>
      </c>
      <c r="H9" s="29" t="n">
        <v>8041340</v>
      </c>
      <c r="I9" s="29" t="n">
        <v>7677819</v>
      </c>
      <c r="J9" s="29" t="n">
        <v>9260749</v>
      </c>
      <c r="K9" s="29" t="n">
        <v>6244845</v>
      </c>
      <c r="L9" s="29" t="n">
        <v>9122950</v>
      </c>
      <c r="M9" s="29" t="n">
        <v>9702125</v>
      </c>
    </row>
    <row r="10">
      <c r="A10" s="21" t="inlineStr">
        <is>
          <t>Recreation</t>
        </is>
      </c>
      <c r="B10" s="29" t="n">
        <v>4597225</v>
      </c>
      <c r="C10" s="29" t="n">
        <v>4629731</v>
      </c>
      <c r="D10" s="29" t="n">
        <v>4838539</v>
      </c>
      <c r="E10" s="29" t="n">
        <v>5335946</v>
      </c>
      <c r="F10" s="29" t="n">
        <v>6319879</v>
      </c>
      <c r="G10" s="29" t="n">
        <v>6852784</v>
      </c>
      <c r="H10" s="29" t="n">
        <v>6579645</v>
      </c>
      <c r="I10" s="29" t="n">
        <v>4691509</v>
      </c>
      <c r="J10" s="29" t="n">
        <v>6089667</v>
      </c>
      <c r="K10" s="29" t="n">
        <v>3896266</v>
      </c>
      <c r="L10" s="29" t="n">
        <v>6999666</v>
      </c>
      <c r="M10" s="29" t="n">
        <v>7682753</v>
      </c>
    </row>
    <row r="11">
      <c r="A11" s="21" t="inlineStr">
        <is>
          <t>Community development</t>
        </is>
      </c>
      <c r="B11" s="29" t="n">
        <v>6121329</v>
      </c>
      <c r="C11" s="29" t="n">
        <v>2208566</v>
      </c>
      <c r="D11" s="29" t="n">
        <v>2094643</v>
      </c>
      <c r="E11" s="29" t="n">
        <v>2867664</v>
      </c>
      <c r="F11" s="29" t="n">
        <v>2877501</v>
      </c>
      <c r="G11" s="29" t="n">
        <v>2683918</v>
      </c>
      <c r="H11" s="29" t="n">
        <v>2881181</v>
      </c>
      <c r="I11" s="29" t="n">
        <v>3452703</v>
      </c>
      <c r="J11" s="29" t="n">
        <v>4262818</v>
      </c>
      <c r="K11" s="29" t="n">
        <v>2376676</v>
      </c>
      <c r="L11" s="29" t="n">
        <v>4530222</v>
      </c>
      <c r="M11" s="29" t="n">
        <v>4472171</v>
      </c>
    </row>
    <row r="12">
      <c r="A12" s="21" t="inlineStr">
        <is>
          <t>Public safety</t>
        </is>
      </c>
      <c r="B12" s="29" t="n">
        <v>18767955</v>
      </c>
      <c r="C12" s="29" t="n">
        <v>18924124</v>
      </c>
      <c r="D12" s="29" t="n">
        <v>18620431</v>
      </c>
      <c r="E12" s="29" t="n">
        <v>20310165</v>
      </c>
      <c r="F12" s="29" t="n">
        <v>24291518</v>
      </c>
      <c r="G12" s="29" t="n">
        <v>26250994</v>
      </c>
      <c r="H12" s="29" t="n">
        <v>26853126</v>
      </c>
      <c r="I12" s="29" t="n">
        <v>26208413</v>
      </c>
      <c r="J12" s="29" t="n">
        <v>30989792</v>
      </c>
      <c r="K12" s="29" t="n">
        <v>16455373</v>
      </c>
      <c r="L12" s="29" t="n">
        <v>29383735</v>
      </c>
      <c r="M12" s="29" t="n">
        <v>34272713</v>
      </c>
    </row>
    <row r="13">
      <c r="A13" s="21" t="inlineStr">
        <is>
          <t>Interest on long-term debt</t>
        </is>
      </c>
      <c r="B13" s="29" t="n">
        <v>904001</v>
      </c>
      <c r="C13" s="29" t="n">
        <v>880173</v>
      </c>
      <c r="D13" s="29" t="n">
        <v>845437</v>
      </c>
      <c r="E13" s="29" t="n">
        <v>982440</v>
      </c>
      <c r="F13" s="29" t="n">
        <v>852986</v>
      </c>
      <c r="G13" s="29" t="n">
        <v>837272</v>
      </c>
      <c r="H13" s="29" t="n">
        <v>844041</v>
      </c>
      <c r="I13" s="29" t="n">
        <v>879070</v>
      </c>
      <c r="J13" s="29" t="n">
        <v>716380</v>
      </c>
      <c r="K13" s="29" t="n">
        <v>630504</v>
      </c>
      <c r="L13" s="29" t="n">
        <v>166298</v>
      </c>
      <c r="M13" s="29" t="n">
        <v>541187</v>
      </c>
    </row>
    <row r="14">
      <c r="A14" s="12" t="inlineStr">
        <is>
          <t>Total expenses</t>
        </is>
      </c>
      <c r="B14" s="24">
        <f>SUM(B8:B13)</f>
        <v/>
      </c>
      <c r="C14" s="24">
        <f>SUM(C8:C13)</f>
        <v/>
      </c>
      <c r="D14" s="24">
        <f>SUM(D8:D13)</f>
        <v/>
      </c>
      <c r="E14" s="24">
        <f>SUM(E8:E13)</f>
        <v/>
      </c>
      <c r="F14" s="24">
        <f>SUM(F8:F13)</f>
        <v/>
      </c>
      <c r="G14" s="24">
        <f>SUM(G8:G13)</f>
        <v/>
      </c>
      <c r="H14" s="24">
        <f>SUM(H8:H13)</f>
        <v/>
      </c>
      <c r="I14" s="24">
        <f>SUM(I8:I13)</f>
        <v/>
      </c>
      <c r="J14" s="24">
        <f>SUM(J8:J13)</f>
        <v/>
      </c>
      <c r="K14" s="24">
        <f>SUM(K8:K13)</f>
        <v/>
      </c>
      <c r="L14" s="24">
        <f>SUM(L8:L13)</f>
        <v/>
      </c>
      <c r="M14" s="24">
        <f>SUM(M8:M13)</f>
        <v/>
      </c>
    </row>
    <row r="15">
      <c r="A15" s="2" t="n"/>
      <c r="B15" s="2" t="n"/>
      <c r="C15" s="2" t="n"/>
      <c r="D15" s="2" t="n"/>
      <c r="E15" s="2" t="n"/>
      <c r="F15" s="2" t="n"/>
      <c r="G15" s="2" t="n"/>
      <c r="H15" s="2" t="n"/>
      <c r="I15" s="2" t="n"/>
      <c r="J15" s="2" t="n"/>
      <c r="K15" s="2" t="n"/>
      <c r="L15" s="2" t="n"/>
      <c r="M15" s="2" t="n"/>
    </row>
    <row r="16">
      <c r="A16" s="19" t="inlineStr">
        <is>
          <t>PROGRAM REVENUES</t>
        </is>
      </c>
      <c r="B16" s="20" t="n"/>
      <c r="C16" s="20" t="n"/>
      <c r="D16" s="20" t="n"/>
      <c r="E16" s="20" t="n"/>
      <c r="F16" s="20" t="n"/>
      <c r="G16" s="20" t="n"/>
      <c r="H16" s="20" t="n"/>
      <c r="I16" s="20" t="n"/>
      <c r="J16" s="20" t="n"/>
      <c r="K16" s="20" t="n"/>
      <c r="L16" s="20" t="n"/>
      <c r="M16" s="20" t="n"/>
    </row>
    <row r="17">
      <c r="A17" s="12" t="inlineStr">
        <is>
          <t>Charges for services:</t>
        </is>
      </c>
      <c r="B17" s="2" t="n"/>
      <c r="C17" s="2" t="n"/>
      <c r="D17" s="2" t="n"/>
      <c r="E17" s="2" t="n"/>
      <c r="F17" s="2" t="n"/>
      <c r="G17" s="2" t="n"/>
      <c r="H17" s="2" t="n"/>
      <c r="I17" s="2" t="n"/>
      <c r="J17" s="2" t="n"/>
      <c r="K17" s="2" t="n"/>
      <c r="L17" s="2" t="n"/>
      <c r="M17" s="2" t="n"/>
    </row>
    <row r="18">
      <c r="A18" s="26" t="inlineStr">
        <is>
          <t>General government</t>
        </is>
      </c>
      <c r="B18" s="29" t="n">
        <v>106677</v>
      </c>
      <c r="C18" s="29" t="n">
        <v>109345</v>
      </c>
      <c r="D18" s="29" t="n">
        <v>137038</v>
      </c>
      <c r="E18" s="29" t="n">
        <v>1096168</v>
      </c>
      <c r="F18" s="29" t="n">
        <v>1116938</v>
      </c>
      <c r="G18" s="29" t="n">
        <v>983618</v>
      </c>
      <c r="H18" s="29" t="n">
        <v>947409</v>
      </c>
      <c r="I18" s="29" t="n">
        <v>1037096</v>
      </c>
      <c r="J18" s="29" t="n">
        <v>547024</v>
      </c>
      <c r="K18" s="29" t="n">
        <v>480288</v>
      </c>
      <c r="L18" s="29" t="n">
        <v>468692</v>
      </c>
      <c r="M18" s="29" t="n">
        <v>1612875</v>
      </c>
    </row>
    <row r="19">
      <c r="A19" s="26" t="inlineStr">
        <is>
          <t>Public works</t>
        </is>
      </c>
      <c r="B19" s="29" t="n">
        <v>976032</v>
      </c>
      <c r="C19" s="29" t="n">
        <v>987537</v>
      </c>
      <c r="D19" s="29" t="n">
        <v>514039</v>
      </c>
      <c r="E19" s="29" t="n">
        <v>331297</v>
      </c>
      <c r="F19" s="29" t="n">
        <v>433727</v>
      </c>
      <c r="G19" s="29" t="n">
        <v>453911</v>
      </c>
      <c r="H19" s="29" t="n">
        <v>317062</v>
      </c>
      <c r="I19" s="29" t="n">
        <v>410676</v>
      </c>
      <c r="J19" s="29" t="n">
        <v>593215</v>
      </c>
      <c r="K19" s="29" t="n">
        <v>557706</v>
      </c>
      <c r="L19" s="29" t="n">
        <v>735339</v>
      </c>
      <c r="M19" s="29" t="n">
        <v>501889</v>
      </c>
    </row>
    <row r="20">
      <c r="A20" s="26" t="inlineStr">
        <is>
          <t>Recreation</t>
        </is>
      </c>
      <c r="B20" s="29" t="n">
        <v>3221674</v>
      </c>
      <c r="C20" s="29" t="n">
        <v>3285398</v>
      </c>
      <c r="D20" s="29" t="n">
        <v>3112985</v>
      </c>
      <c r="E20" s="29" t="n">
        <v>3611541</v>
      </c>
      <c r="F20" s="29" t="n">
        <v>3785511</v>
      </c>
      <c r="G20" s="29" t="n">
        <v>4385622</v>
      </c>
      <c r="H20" s="29" t="n">
        <v>3108433</v>
      </c>
      <c r="I20" s="29" t="n">
        <v>2142292</v>
      </c>
      <c r="J20" s="29" t="n">
        <v>3932395</v>
      </c>
      <c r="K20" s="29" t="n">
        <v>4398223</v>
      </c>
      <c r="L20" s="29" t="n">
        <v>4958617</v>
      </c>
      <c r="M20" s="29" t="n">
        <v>5799134</v>
      </c>
    </row>
    <row r="21">
      <c r="A21" s="26" t="inlineStr">
        <is>
          <t>Community development</t>
        </is>
      </c>
      <c r="B21" s="29" t="n">
        <v>1731668</v>
      </c>
      <c r="C21" s="29" t="n">
        <v>1132299</v>
      </c>
      <c r="D21" s="29" t="n">
        <v>1439678</v>
      </c>
      <c r="E21" s="29" t="n">
        <v>1848830</v>
      </c>
      <c r="F21" s="29" t="n">
        <v>1813313</v>
      </c>
      <c r="G21" s="29" t="n">
        <v>1917141</v>
      </c>
      <c r="H21" s="29" t="n">
        <v>1841512</v>
      </c>
      <c r="I21" s="29" t="n">
        <v>1756009</v>
      </c>
      <c r="J21" s="29" t="n">
        <v>3096993</v>
      </c>
      <c r="K21" s="29" t="n">
        <v>2673576</v>
      </c>
      <c r="L21" s="29" t="n">
        <v>2896914</v>
      </c>
      <c r="M21" s="29" t="n">
        <v>2564550</v>
      </c>
    </row>
    <row r="22">
      <c r="A22" s="26" t="inlineStr">
        <is>
          <t>Public safety</t>
        </is>
      </c>
      <c r="B22" s="29" t="n">
        <v>2880896</v>
      </c>
      <c r="C22" s="29" t="n">
        <v>2793410</v>
      </c>
      <c r="D22" s="29" t="n">
        <v>2819113</v>
      </c>
      <c r="E22" s="29" t="n">
        <v>3048763</v>
      </c>
      <c r="F22" s="29" t="n">
        <v>3504858</v>
      </c>
      <c r="G22" s="29" t="n">
        <v>3437116</v>
      </c>
      <c r="H22" s="29" t="n">
        <v>3522587</v>
      </c>
      <c r="I22" s="29" t="n">
        <v>3746725</v>
      </c>
      <c r="J22" s="29" t="n">
        <v>4093311</v>
      </c>
      <c r="K22" s="29" t="n">
        <v>4526164</v>
      </c>
      <c r="L22" s="29" t="n">
        <v>4709908</v>
      </c>
      <c r="M22" s="29" t="n">
        <v>4762457</v>
      </c>
    </row>
    <row r="23">
      <c r="A23" s="21" t="inlineStr">
        <is>
          <t>Operating grants and contributions</t>
        </is>
      </c>
      <c r="B23" s="29" t="n">
        <v>3067489</v>
      </c>
      <c r="C23" s="29" t="n">
        <v>2762749</v>
      </c>
      <c r="D23" s="29" t="n">
        <v>2496255</v>
      </c>
      <c r="E23" s="29" t="n">
        <v>1942080</v>
      </c>
      <c r="F23" s="29" t="n">
        <v>2410442</v>
      </c>
      <c r="G23" s="29" t="n">
        <v>3534462</v>
      </c>
      <c r="H23" s="29" t="n">
        <v>2329117</v>
      </c>
      <c r="I23" s="29" t="n">
        <v>5632909</v>
      </c>
      <c r="J23" s="29" t="n">
        <v>4797917</v>
      </c>
      <c r="K23" s="29" t="n">
        <v>1437171</v>
      </c>
      <c r="L23" s="29" t="n">
        <v>1550711</v>
      </c>
      <c r="M23" s="29" t="n">
        <v>3368275</v>
      </c>
    </row>
    <row r="24">
      <c r="A24" s="21" t="inlineStr">
        <is>
          <t>Capital grants and contributions</t>
        </is>
      </c>
      <c r="B24" s="29" t="n">
        <v>3637043</v>
      </c>
      <c r="C24" s="29" t="n">
        <v>3677475</v>
      </c>
      <c r="D24" s="29" t="n">
        <v>1573560</v>
      </c>
      <c r="E24" s="29" t="n">
        <v>2039912</v>
      </c>
      <c r="F24" s="29" t="n">
        <v>3013832</v>
      </c>
      <c r="G24" s="29" t="n">
        <v>5093007</v>
      </c>
      <c r="H24" s="29" t="n">
        <v>2767468</v>
      </c>
      <c r="I24" s="29" t="n">
        <v>3317784</v>
      </c>
      <c r="J24" s="29" t="n">
        <v>1280680</v>
      </c>
      <c r="K24" s="29" t="n">
        <v>1709112</v>
      </c>
      <c r="L24" s="29" t="n">
        <v>4841678</v>
      </c>
      <c r="M24" s="29" t="n">
        <v>6796593</v>
      </c>
    </row>
    <row r="25">
      <c r="A25" s="12" t="inlineStr">
        <is>
          <t>Total program revenues</t>
        </is>
      </c>
      <c r="B25" s="24">
        <f>SUM(B17:B24)</f>
        <v/>
      </c>
      <c r="C25" s="24">
        <f>SUM(C17:C24)</f>
        <v/>
      </c>
      <c r="D25" s="24">
        <f>SUM(D17:D24)</f>
        <v/>
      </c>
      <c r="E25" s="24">
        <f>SUM(E17:E24)</f>
        <v/>
      </c>
      <c r="F25" s="24">
        <f>SUM(F17:F24)</f>
        <v/>
      </c>
      <c r="G25" s="24">
        <f>SUM(G17:G24)</f>
        <v/>
      </c>
      <c r="H25" s="24">
        <f>SUM(H17:H24)</f>
        <v/>
      </c>
      <c r="I25" s="24">
        <f>SUM(I17:I24)</f>
        <v/>
      </c>
      <c r="J25" s="24">
        <f>SUM(J17:J24)</f>
        <v/>
      </c>
      <c r="K25" s="24">
        <f>SUM(K17:K24)</f>
        <v/>
      </c>
      <c r="L25" s="24">
        <f>SUM(L17:L24)</f>
        <v/>
      </c>
      <c r="M25" s="24">
        <f>SUM(M17:M24)</f>
        <v/>
      </c>
    </row>
    <row r="26">
      <c r="A26" s="2" t="n"/>
      <c r="B26" s="2" t="n"/>
      <c r="C26" s="2" t="n"/>
      <c r="D26" s="2" t="n"/>
      <c r="E26" s="2" t="n"/>
      <c r="F26" s="2" t="n"/>
      <c r="G26" s="2" t="n"/>
      <c r="H26" s="2" t="n"/>
      <c r="I26" s="2" t="n"/>
      <c r="J26" s="2" t="n"/>
      <c r="K26" s="2" t="n"/>
      <c r="L26" s="2" t="n"/>
      <c r="M26" s="2" t="n"/>
    </row>
    <row r="27">
      <c r="A27" s="12" t="inlineStr">
        <is>
          <t>Net (expense) revenue</t>
        </is>
      </c>
      <c r="B27" s="27">
        <f>B25-B14</f>
        <v/>
      </c>
      <c r="C27" s="27">
        <f>C25-C14</f>
        <v/>
      </c>
      <c r="D27" s="27">
        <f>D25-D14</f>
        <v/>
      </c>
      <c r="E27" s="27">
        <f>E25-E14</f>
        <v/>
      </c>
      <c r="F27" s="27">
        <f>F25-F14</f>
        <v/>
      </c>
      <c r="G27" s="27">
        <f>G25-G14</f>
        <v/>
      </c>
      <c r="H27" s="27">
        <f>H25-H14</f>
        <v/>
      </c>
      <c r="I27" s="27">
        <f>I25-I14</f>
        <v/>
      </c>
      <c r="J27" s="27">
        <f>J25-J14</f>
        <v/>
      </c>
      <c r="K27" s="27">
        <f>K25-K14</f>
        <v/>
      </c>
      <c r="L27" s="27">
        <f>L25-L14</f>
        <v/>
      </c>
      <c r="M27" s="27">
        <f>M25-M14</f>
        <v/>
      </c>
    </row>
    <row r="28">
      <c r="A28" s="2" t="n"/>
      <c r="B28" s="2" t="n"/>
      <c r="C28" s="2" t="n"/>
      <c r="D28" s="2" t="n"/>
      <c r="E28" s="2" t="n"/>
      <c r="F28" s="2" t="n"/>
      <c r="G28" s="2" t="n"/>
      <c r="H28" s="2" t="n"/>
      <c r="I28" s="2" t="n"/>
      <c r="J28" s="2" t="n"/>
      <c r="K28" s="2" t="n"/>
      <c r="L28" s="2" t="n"/>
      <c r="M28" s="2" t="n"/>
    </row>
    <row r="29">
      <c r="A29" s="19" t="inlineStr">
        <is>
          <t>GENERAL REVENUES, SPECIAL ITEMS AND TRANSFERS</t>
        </is>
      </c>
      <c r="B29" s="20" t="n"/>
      <c r="C29" s="20" t="n"/>
      <c r="D29" s="20" t="n"/>
      <c r="E29" s="20" t="n"/>
      <c r="F29" s="20" t="n"/>
      <c r="G29" s="20" t="n"/>
      <c r="H29" s="20" t="n"/>
      <c r="I29" s="20" t="n"/>
      <c r="J29" s="20" t="n"/>
      <c r="K29" s="20" t="n"/>
      <c r="L29" s="20" t="n"/>
      <c r="M29" s="20" t="n"/>
    </row>
    <row r="30">
      <c r="A30" s="21" t="inlineStr">
        <is>
          <t>Property taxes</t>
        </is>
      </c>
      <c r="B30" s="29" t="n">
        <v>9024435</v>
      </c>
      <c r="C30" s="29" t="n">
        <v>9927028</v>
      </c>
      <c r="D30" s="29" t="n">
        <v>11211539</v>
      </c>
      <c r="E30" s="29" t="n">
        <v>12770037</v>
      </c>
      <c r="F30" s="29" t="n">
        <v>13360216</v>
      </c>
      <c r="G30" s="29" t="n">
        <v>14242520</v>
      </c>
      <c r="H30" s="29" t="n">
        <v>14381441</v>
      </c>
      <c r="I30" s="29" t="n">
        <v>15213912</v>
      </c>
      <c r="J30" s="29" t="n">
        <v>16683058</v>
      </c>
      <c r="K30" s="29" t="n">
        <v>17813125</v>
      </c>
      <c r="L30" s="29" t="n">
        <v>18503332</v>
      </c>
      <c r="M30" s="29" t="n">
        <v>18892277</v>
      </c>
    </row>
    <row r="31">
      <c r="A31" s="21" t="inlineStr">
        <is>
          <t>Sales taxes</t>
        </is>
      </c>
      <c r="B31" s="29" t="n">
        <v>6554589</v>
      </c>
      <c r="C31" s="29" t="n">
        <v>6408016</v>
      </c>
      <c r="D31" s="29" t="n">
        <v>7234366</v>
      </c>
      <c r="E31" s="29" t="n">
        <v>7477393</v>
      </c>
      <c r="F31" s="29" t="n">
        <v>8215732</v>
      </c>
      <c r="G31" s="29" t="n">
        <v>8318511</v>
      </c>
      <c r="H31" s="29" t="n">
        <v>8134818</v>
      </c>
      <c r="I31" s="29" t="n">
        <v>9708892</v>
      </c>
      <c r="J31" s="29" t="n">
        <v>9671196</v>
      </c>
      <c r="K31" s="29" t="n">
        <v>12110514</v>
      </c>
      <c r="L31" s="29" t="n">
        <v>11457300</v>
      </c>
      <c r="M31" s="29" t="n">
        <v>12142660</v>
      </c>
    </row>
    <row r="32">
      <c r="A32" s="21" t="inlineStr">
        <is>
          <t>Transient occupancy taxes</t>
        </is>
      </c>
      <c r="B32" s="29" t="n">
        <v>130556</v>
      </c>
      <c r="C32" s="29" t="n">
        <v>114712</v>
      </c>
      <c r="D32" s="29" t="n">
        <v>139084</v>
      </c>
      <c r="E32" s="29" t="n">
        <v>134171</v>
      </c>
      <c r="F32" s="29" t="n">
        <v>145489</v>
      </c>
      <c r="G32" s="29" t="n">
        <v>147550</v>
      </c>
      <c r="H32" s="29" t="n">
        <v>118891</v>
      </c>
      <c r="I32" s="29" t="n">
        <v>126164</v>
      </c>
      <c r="J32" s="29" t="n">
        <v>113434</v>
      </c>
      <c r="K32" s="29" t="n">
        <v>107817</v>
      </c>
      <c r="L32" s="29" t="n">
        <v>89451</v>
      </c>
      <c r="M32" s="29" t="n">
        <v>115058</v>
      </c>
    </row>
    <row r="33">
      <c r="A33" s="21" t="inlineStr">
        <is>
          <t>Franchise and other taxes</t>
        </is>
      </c>
      <c r="B33" s="29" t="n">
        <v>1228307</v>
      </c>
      <c r="C33" s="29" t="n">
        <v>1376771</v>
      </c>
      <c r="D33" s="29" t="n">
        <v>1453351</v>
      </c>
      <c r="E33" s="29" t="n">
        <v>1375048</v>
      </c>
      <c r="F33" s="29" t="n">
        <v>1279037</v>
      </c>
      <c r="G33" s="29" t="n">
        <v>1244897</v>
      </c>
      <c r="H33" s="29" t="n">
        <v>1637666</v>
      </c>
      <c r="I33" s="29" t="n">
        <v>1364257</v>
      </c>
      <c r="J33" s="29" t="n">
        <v>1181509</v>
      </c>
      <c r="K33" s="29" t="n">
        <v>1604218</v>
      </c>
      <c r="L33" s="29" t="n">
        <v>1854938</v>
      </c>
      <c r="M33" s="29" t="n">
        <v>1587267</v>
      </c>
    </row>
    <row r="34">
      <c r="A34" s="21" t="inlineStr">
        <is>
          <t>Business license taxes</t>
        </is>
      </c>
      <c r="B34" s="29" t="n">
        <v>768448</v>
      </c>
      <c r="C34" s="29" t="n">
        <v>722130</v>
      </c>
      <c r="D34" s="29" t="n">
        <v>787122</v>
      </c>
      <c r="E34" s="29" t="n">
        <v>775413</v>
      </c>
      <c r="F34" s="29" t="n">
        <v>846900</v>
      </c>
      <c r="G34" s="29" t="n">
        <v>910104</v>
      </c>
      <c r="H34" s="29" t="n">
        <v>918799</v>
      </c>
      <c r="I34" s="29" t="n">
        <v>924358</v>
      </c>
      <c r="J34" s="29" t="n">
        <v>1040618</v>
      </c>
      <c r="K34" s="29" t="n">
        <v>1069964</v>
      </c>
      <c r="L34" s="29" t="n">
        <v>1128561</v>
      </c>
      <c r="M34" s="29" t="n">
        <v>1176343</v>
      </c>
    </row>
    <row r="35">
      <c r="A35" s="21" t="inlineStr">
        <is>
          <t>Utility users taxes</t>
        </is>
      </c>
      <c r="B35" s="29" t="n">
        <v>3137017</v>
      </c>
      <c r="C35" s="29" t="n">
        <v>3106232</v>
      </c>
      <c r="D35" s="29" t="n">
        <v>3291255</v>
      </c>
      <c r="E35" s="29" t="n">
        <v>3360277</v>
      </c>
      <c r="F35" s="29" t="n">
        <v>2965675</v>
      </c>
      <c r="G35" s="29" t="n">
        <v>3207892</v>
      </c>
      <c r="H35" s="29" t="n">
        <v>3165974</v>
      </c>
      <c r="I35" s="29" t="n">
        <v>3444484</v>
      </c>
      <c r="J35" s="29" t="n">
        <v>3403776</v>
      </c>
      <c r="K35" s="29" t="n">
        <v>4100286</v>
      </c>
      <c r="L35" s="29" t="n">
        <v>4015551</v>
      </c>
      <c r="M35" s="29" t="n">
        <v>4206762</v>
      </c>
    </row>
    <row r="36">
      <c r="A36" s="21" t="inlineStr">
        <is>
          <t>Real property transfer tax</t>
        </is>
      </c>
      <c r="B36" s="29" t="n">
        <v>0</v>
      </c>
      <c r="C36" s="29" t="n">
        <v>0</v>
      </c>
      <c r="D36" s="29" t="n">
        <v>0</v>
      </c>
      <c r="E36" s="29" t="n">
        <v>0</v>
      </c>
      <c r="F36" s="29" t="n">
        <v>0</v>
      </c>
      <c r="G36" s="29" t="n">
        <v>1102563</v>
      </c>
      <c r="H36" s="29" t="n">
        <v>3467532</v>
      </c>
      <c r="I36" s="29" t="n">
        <v>4419107</v>
      </c>
      <c r="J36" s="29" t="n">
        <v>4863035</v>
      </c>
      <c r="K36" s="29" t="n">
        <v>4157840</v>
      </c>
      <c r="L36" s="29" t="n">
        <v>3129523</v>
      </c>
      <c r="M36" s="29" t="n">
        <v>3207242</v>
      </c>
    </row>
    <row r="37">
      <c r="A37" s="21" t="inlineStr">
        <is>
          <t>Other taxes</t>
        </is>
      </c>
      <c r="B37" s="29" t="n">
        <v>129774</v>
      </c>
      <c r="C37" s="29" t="n">
        <v>144539</v>
      </c>
      <c r="D37" s="29" t="n">
        <v>180447</v>
      </c>
      <c r="E37" s="29" t="n">
        <v>154863</v>
      </c>
      <c r="F37" s="29" t="n">
        <v>147623</v>
      </c>
      <c r="G37" s="29" t="n">
        <v>1935</v>
      </c>
      <c r="H37" s="29" t="n">
        <v>2811</v>
      </c>
      <c r="I37" s="29" t="n">
        <v>213044</v>
      </c>
      <c r="J37" s="29" t="n">
        <v>581641</v>
      </c>
      <c r="K37" s="29" t="n">
        <v>706695</v>
      </c>
      <c r="L37" s="29" t="n">
        <v>805437</v>
      </c>
      <c r="M37" s="29" t="n">
        <v>57</v>
      </c>
    </row>
    <row r="38">
      <c r="A38" s="21" t="inlineStr">
        <is>
          <t>Investment earnings and other</t>
        </is>
      </c>
      <c r="B38" s="29" t="n">
        <v>1263663</v>
      </c>
      <c r="C38" s="29" t="n">
        <v>1548232</v>
      </c>
      <c r="D38" s="29" t="n">
        <v>2640631</v>
      </c>
      <c r="E38" s="29" t="n">
        <v>481324</v>
      </c>
      <c r="F38" s="29" t="n">
        <v>300264</v>
      </c>
      <c r="G38" s="29" t="n">
        <v>340572</v>
      </c>
      <c r="H38" s="29" t="n">
        <v>344875</v>
      </c>
      <c r="I38" s="29" t="n">
        <v>176593</v>
      </c>
      <c r="J38" s="29" t="n">
        <v>1146385</v>
      </c>
      <c r="K38" s="29" t="n">
        <v>1887516</v>
      </c>
      <c r="L38" s="29" t="n">
        <v>2920338</v>
      </c>
      <c r="M38" s="29" t="n">
        <v>2404254</v>
      </c>
    </row>
    <row r="39">
      <c r="A39" s="21" t="inlineStr">
        <is>
          <t>Transfers</t>
        </is>
      </c>
      <c r="B39" s="29" t="n">
        <v>327371</v>
      </c>
      <c r="C39" s="29" t="n">
        <v>346319</v>
      </c>
      <c r="D39" s="29" t="n">
        <v>356418</v>
      </c>
      <c r="E39" s="29" t="n">
        <v>9671</v>
      </c>
      <c r="F39" s="29" t="n">
        <v>9671</v>
      </c>
      <c r="G39" s="29" t="n">
        <v>3671</v>
      </c>
      <c r="H39" s="29" t="n">
        <v>3671</v>
      </c>
      <c r="I39" s="29" t="n">
        <v>3671</v>
      </c>
      <c r="J39" s="29" t="n">
        <v>3671</v>
      </c>
      <c r="K39" s="29" t="n">
        <v>3671</v>
      </c>
      <c r="L39" s="29" t="n">
        <v>3671</v>
      </c>
      <c r="M39" s="29" t="n">
        <v>3671</v>
      </c>
    </row>
    <row r="40">
      <c r="A40" s="21" t="inlineStr">
        <is>
          <t>Special items</t>
        </is>
      </c>
      <c r="B40" s="29" t="n">
        <v>0</v>
      </c>
      <c r="C40" s="29" t="n">
        <v>0</v>
      </c>
      <c r="D40" s="29" t="n">
        <v>0</v>
      </c>
      <c r="E40" s="29" t="n">
        <v>0</v>
      </c>
      <c r="F40" s="29" t="n">
        <v>0</v>
      </c>
      <c r="G40" s="29" t="n">
        <v>-6773576</v>
      </c>
      <c r="H40" s="29" t="n">
        <v>0</v>
      </c>
      <c r="I40" s="29" t="n">
        <v>-1321189</v>
      </c>
      <c r="J40" s="29" t="n">
        <v>0</v>
      </c>
      <c r="K40" s="29" t="n">
        <v>0</v>
      </c>
      <c r="L40" s="29" t="n">
        <v>0</v>
      </c>
      <c r="M40" s="29" t="n">
        <v>0</v>
      </c>
    </row>
    <row r="41">
      <c r="A41" s="12" t="inlineStr">
        <is>
          <t>Total general revenues, special items and transfers</t>
        </is>
      </c>
      <c r="B41" s="24">
        <f>SUM(B30:B40)</f>
        <v/>
      </c>
      <c r="C41" s="24">
        <f>SUM(C30:C40)</f>
        <v/>
      </c>
      <c r="D41" s="24">
        <f>SUM(D30:D40)</f>
        <v/>
      </c>
      <c r="E41" s="24">
        <f>SUM(E30:E40)</f>
        <v/>
      </c>
      <c r="F41" s="24">
        <f>SUM(F30:F40)</f>
        <v/>
      </c>
      <c r="G41" s="24">
        <f>SUM(G30:G40)</f>
        <v/>
      </c>
      <c r="H41" s="24">
        <f>SUM(H30:H40)</f>
        <v/>
      </c>
      <c r="I41" s="24">
        <f>SUM(I30:I40)</f>
        <v/>
      </c>
      <c r="J41" s="24">
        <f>SUM(J30:J40)</f>
        <v/>
      </c>
      <c r="K41" s="24">
        <f>SUM(K30:K40)</f>
        <v/>
      </c>
      <c r="L41" s="24">
        <f>SUM(L30:L40)</f>
        <v/>
      </c>
      <c r="M41" s="24">
        <f>SUM(M30:M40)</f>
        <v/>
      </c>
    </row>
    <row r="42">
      <c r="A42" s="2" t="n"/>
      <c r="B42" s="2" t="n"/>
      <c r="C42" s="2" t="n"/>
      <c r="D42" s="2" t="n"/>
      <c r="E42" s="2" t="n"/>
      <c r="F42" s="2" t="n"/>
      <c r="G42" s="2" t="n"/>
      <c r="H42" s="2" t="n"/>
      <c r="I42" s="2" t="n"/>
      <c r="J42" s="2" t="n"/>
      <c r="K42" s="2" t="n"/>
      <c r="L42" s="2" t="n"/>
      <c r="M42" s="2" t="n"/>
    </row>
    <row r="43">
      <c r="A43" s="12" t="inlineStr">
        <is>
          <t>Change in net position</t>
        </is>
      </c>
      <c r="B43" s="24">
        <f>B27+B41</f>
        <v/>
      </c>
      <c r="C43" s="24">
        <f>C27+C41</f>
        <v/>
      </c>
      <c r="D43" s="24">
        <f>D27+D41</f>
        <v/>
      </c>
      <c r="E43" s="24">
        <f>E27+E41</f>
        <v/>
      </c>
      <c r="F43" s="24">
        <f>F27+F41</f>
        <v/>
      </c>
      <c r="G43" s="24">
        <f>G27+G41</f>
        <v/>
      </c>
      <c r="H43" s="24">
        <f>H27+H41</f>
        <v/>
      </c>
      <c r="I43" s="24">
        <f>I27+I41</f>
        <v/>
      </c>
      <c r="J43" s="24">
        <f>J27+J41</f>
        <v/>
      </c>
      <c r="K43" s="24">
        <f>K27+K41</f>
        <v/>
      </c>
      <c r="L43" s="24">
        <f>L27+L41</f>
        <v/>
      </c>
      <c r="M43" s="24">
        <f>M27+M41</f>
        <v/>
      </c>
    </row>
    <row r="44">
      <c r="A44" s="2" t="n"/>
      <c r="B44" s="2" t="n"/>
      <c r="C44" s="2" t="n"/>
      <c r="D44" s="2" t="n"/>
      <c r="E44" s="2" t="n"/>
      <c r="F44" s="2" t="n"/>
      <c r="G44" s="2" t="n"/>
      <c r="H44" s="2" t="n"/>
      <c r="I44" s="2" t="n"/>
      <c r="J44" s="2" t="n"/>
      <c r="K44" s="2" t="n"/>
      <c r="L44" s="2" t="n"/>
      <c r="M44" s="2" t="n"/>
    </row>
    <row r="45">
      <c r="A45" s="13" t="inlineStr">
        <is>
          <t>Net position - beginning, as previously reported</t>
        </is>
      </c>
      <c r="B45" s="36" t="inlineStr"/>
      <c r="C45" s="36">
        <f>CW_Net_Position!B37</f>
        <v/>
      </c>
      <c r="D45" s="36">
        <f>CW_Net_Position!C37</f>
        <v/>
      </c>
      <c r="E45" s="36">
        <f>CW_Net_Position!D37</f>
        <v/>
      </c>
      <c r="F45" s="36">
        <f>CW_Net_Position!E37</f>
        <v/>
      </c>
      <c r="G45" s="36">
        <f>CW_Net_Position!F37</f>
        <v/>
      </c>
      <c r="H45" s="36">
        <f>CW_Net_Position!G37</f>
        <v/>
      </c>
      <c r="I45" s="36">
        <f>CW_Net_Position!H37</f>
        <v/>
      </c>
      <c r="J45" s="36">
        <f>CW_Net_Position!I37</f>
        <v/>
      </c>
      <c r="K45" s="36">
        <f>CW_Net_Position!J37</f>
        <v/>
      </c>
      <c r="L45" s="36">
        <f>CW_Net_Position!K37</f>
        <v/>
      </c>
      <c r="M45" s="36">
        <f>CW_Net_Position!L37</f>
        <v/>
      </c>
    </row>
    <row r="46">
      <c r="A46" s="21" t="inlineStr">
        <is>
          <t>Restatements / accounting changes (computed)</t>
        </is>
      </c>
      <c r="B46" s="22" t="inlineStr"/>
      <c r="C46" s="22">
        <f>C48-C45-C43</f>
        <v/>
      </c>
      <c r="D46" s="22">
        <f>D48-D45-D43</f>
        <v/>
      </c>
      <c r="E46" s="22">
        <f>E48-E45-E43</f>
        <v/>
      </c>
      <c r="F46" s="22">
        <f>F48-F45-F43</f>
        <v/>
      </c>
      <c r="G46" s="22">
        <f>G48-G45-G43</f>
        <v/>
      </c>
      <c r="H46" s="22">
        <f>H48-H45-H43</f>
        <v/>
      </c>
      <c r="I46" s="22">
        <f>I48-I45-I43</f>
        <v/>
      </c>
      <c r="J46" s="22">
        <f>J48-J45-J43</f>
        <v/>
      </c>
      <c r="K46" s="22">
        <f>K48-K45-K43</f>
        <v/>
      </c>
      <c r="L46" s="22">
        <f>L48-L45-L43</f>
        <v/>
      </c>
      <c r="M46" s="22">
        <f>M48-M45-M43</f>
        <v/>
      </c>
    </row>
    <row r="47">
      <c r="A47" s="13" t="inlineStr">
        <is>
          <t>Net position - beginning, as restated</t>
        </is>
      </c>
      <c r="B47" s="22" t="inlineStr"/>
      <c r="C47" s="22">
        <f>C45+C46</f>
        <v/>
      </c>
      <c r="D47" s="22">
        <f>D45+D46</f>
        <v/>
      </c>
      <c r="E47" s="22">
        <f>E45+E46</f>
        <v/>
      </c>
      <c r="F47" s="22">
        <f>F45+F46</f>
        <v/>
      </c>
      <c r="G47" s="22">
        <f>G45+G46</f>
        <v/>
      </c>
      <c r="H47" s="22">
        <f>H45+H46</f>
        <v/>
      </c>
      <c r="I47" s="22">
        <f>I45+I46</f>
        <v/>
      </c>
      <c r="J47" s="22">
        <f>J45+J46</f>
        <v/>
      </c>
      <c r="K47" s="22">
        <f>K45+K46</f>
        <v/>
      </c>
      <c r="L47" s="22">
        <f>L45+L46</f>
        <v/>
      </c>
      <c r="M47" s="22">
        <f>M45+M46</f>
        <v/>
      </c>
    </row>
    <row r="48">
      <c r="A48" s="12" t="inlineStr">
        <is>
          <t>Net position - ending (CW_Net_Position)</t>
        </is>
      </c>
      <c r="B48" s="69">
        <f>CW_Net_Position!B37</f>
        <v/>
      </c>
      <c r="C48" s="69">
        <f>CW_Net_Position!C37</f>
        <v/>
      </c>
      <c r="D48" s="69">
        <f>CW_Net_Position!D37</f>
        <v/>
      </c>
      <c r="E48" s="69">
        <f>CW_Net_Position!E37</f>
        <v/>
      </c>
      <c r="F48" s="69">
        <f>CW_Net_Position!F37</f>
        <v/>
      </c>
      <c r="G48" s="69">
        <f>CW_Net_Position!G37</f>
        <v/>
      </c>
      <c r="H48" s="69">
        <f>CW_Net_Position!H37</f>
        <v/>
      </c>
      <c r="I48" s="69">
        <f>CW_Net_Position!I37</f>
        <v/>
      </c>
      <c r="J48" s="69">
        <f>CW_Net_Position!J37</f>
        <v/>
      </c>
      <c r="K48" s="69">
        <f>CW_Net_Position!K37</f>
        <v/>
      </c>
      <c r="L48" s="69">
        <f>CW_Net_Position!L37</f>
        <v/>
      </c>
      <c r="M48" s="69">
        <f>CW_Net_Position!M37</f>
        <v/>
      </c>
    </row>
    <row r="49">
      <c r="A49" s="2" t="n"/>
      <c r="B49" s="2" t="n"/>
      <c r="C49" s="2" t="n"/>
      <c r="D49" s="2" t="n"/>
      <c r="E49" s="2" t="n"/>
      <c r="F49" s="2" t="n"/>
      <c r="G49" s="2" t="n"/>
      <c r="H49" s="2" t="n"/>
      <c r="I49" s="2" t="n"/>
      <c r="J49" s="2" t="n"/>
      <c r="K49" s="2" t="n"/>
      <c r="L49" s="2" t="n"/>
      <c r="M49" s="2" t="n"/>
    </row>
    <row r="50">
      <c r="A50" s="19" t="inlineStr">
        <is>
          <t>MEASURES</t>
        </is>
      </c>
      <c r="B50" s="20" t="n"/>
      <c r="C50" s="20" t="n"/>
      <c r="D50" s="20" t="n"/>
      <c r="E50" s="20" t="n"/>
      <c r="F50" s="20" t="n"/>
      <c r="G50" s="20" t="n"/>
      <c r="H50" s="20" t="n"/>
      <c r="I50" s="20" t="n"/>
      <c r="J50" s="20" t="n"/>
      <c r="K50" s="20" t="n"/>
      <c r="L50" s="20" t="n"/>
      <c r="M50" s="20" t="n"/>
    </row>
    <row r="51">
      <c r="A51" s="13" t="inlineStr">
        <is>
          <t>Program revenues as % of expenses (self-supporting share)</t>
        </is>
      </c>
      <c r="B51" s="33">
        <f>IFERROR(B25/B14,0)</f>
        <v/>
      </c>
      <c r="C51" s="33">
        <f>IFERROR(C25/C14,0)</f>
        <v/>
      </c>
      <c r="D51" s="33">
        <f>IFERROR(D25/D14,0)</f>
        <v/>
      </c>
      <c r="E51" s="33">
        <f>IFERROR(E25/E14,0)</f>
        <v/>
      </c>
      <c r="F51" s="33">
        <f>IFERROR(F25/F14,0)</f>
        <v/>
      </c>
      <c r="G51" s="33">
        <f>IFERROR(G25/G14,0)</f>
        <v/>
      </c>
      <c r="H51" s="33">
        <f>IFERROR(H25/H14,0)</f>
        <v/>
      </c>
      <c r="I51" s="33">
        <f>IFERROR(I25/I14,0)</f>
        <v/>
      </c>
      <c r="J51" s="33">
        <f>IFERROR(J25/J14,0)</f>
        <v/>
      </c>
      <c r="K51" s="33">
        <f>IFERROR(K25/K14,0)</f>
        <v/>
      </c>
      <c r="L51" s="33">
        <f>IFERROR(L25/L14,0)</f>
        <v/>
      </c>
      <c r="M51" s="33">
        <f>IFERROR(M25/M14,0)</f>
        <v/>
      </c>
    </row>
    <row r="52">
      <c r="A52" s="13" t="inlineStr">
        <is>
          <t>Public safety as % of expenses</t>
        </is>
      </c>
      <c r="B52" s="33">
        <f>IFERROR(B12/B14,0)</f>
        <v/>
      </c>
      <c r="C52" s="33">
        <f>IFERROR(C12/C14,0)</f>
        <v/>
      </c>
      <c r="D52" s="33">
        <f>IFERROR(D12/D14,0)</f>
        <v/>
      </c>
      <c r="E52" s="33">
        <f>IFERROR(E12/E14,0)</f>
        <v/>
      </c>
      <c r="F52" s="33">
        <f>IFERROR(F12/F14,0)</f>
        <v/>
      </c>
      <c r="G52" s="33">
        <f>IFERROR(G12/G14,0)</f>
        <v/>
      </c>
      <c r="H52" s="33">
        <f>IFERROR(H12/H14,0)</f>
        <v/>
      </c>
      <c r="I52" s="33">
        <f>IFERROR(I12/I14,0)</f>
        <v/>
      </c>
      <c r="J52" s="33">
        <f>IFERROR(J12/J14,0)</f>
        <v/>
      </c>
      <c r="K52" s="33">
        <f>IFERROR(K12/K14,0)</f>
        <v/>
      </c>
      <c r="L52" s="33">
        <f>IFERROR(L12/L14,0)</f>
        <v/>
      </c>
      <c r="M52" s="33">
        <f>IFERROR(M12/M14,0)</f>
        <v/>
      </c>
    </row>
    <row r="53">
      <c r="A53" s="13" t="inlineStr">
        <is>
          <t>Taxes as % of general revenues</t>
        </is>
      </c>
      <c r="B53" s="33">
        <f>IFERROR(SUM(B30:B37)/B41,0)</f>
        <v/>
      </c>
      <c r="C53" s="33">
        <f>IFERROR(SUM(C30:C37)/C41,0)</f>
        <v/>
      </c>
      <c r="D53" s="33">
        <f>IFERROR(SUM(D30:D37)/D41,0)</f>
        <v/>
      </c>
      <c r="E53" s="33">
        <f>IFERROR(SUM(E30:E37)/E41,0)</f>
        <v/>
      </c>
      <c r="F53" s="33">
        <f>IFERROR(SUM(F30:F37)/F41,0)</f>
        <v/>
      </c>
      <c r="G53" s="33">
        <f>IFERROR(SUM(G30:G37)/G41,0)</f>
        <v/>
      </c>
      <c r="H53" s="33">
        <f>IFERROR(SUM(H30:H37)/H41,0)</f>
        <v/>
      </c>
      <c r="I53" s="33">
        <f>IFERROR(SUM(I30:I37)/I41,0)</f>
        <v/>
      </c>
      <c r="J53" s="33">
        <f>IFERROR(SUM(J30:J37)/J41,0)</f>
        <v/>
      </c>
      <c r="K53" s="33">
        <f>IFERROR(SUM(K30:K37)/K41,0)</f>
        <v/>
      </c>
      <c r="L53" s="33">
        <f>IFERROR(SUM(L30:L37)/L41,0)</f>
        <v/>
      </c>
      <c r="M53" s="33">
        <f>IFERROR(SUM(M30:M37)/M41,0)</f>
        <v/>
      </c>
    </row>
    <row r="54">
      <c r="A54" s="2" t="n"/>
      <c r="B54" s="2" t="n"/>
      <c r="C54" s="2" t="n"/>
      <c r="D54" s="2" t="n"/>
      <c r="E54" s="2" t="n"/>
      <c r="F54" s="2" t="n"/>
      <c r="G54" s="2" t="n"/>
      <c r="H54" s="2" t="n"/>
      <c r="I54" s="2" t="n"/>
      <c r="J54" s="2" t="n"/>
      <c r="K54" s="2" t="n"/>
      <c r="L54" s="2" t="n"/>
      <c r="M54" s="2" t="n"/>
    </row>
    <row r="55">
      <c r="A55" s="13" t="inlineStr">
        <is>
          <t>Check: total expenses vs. ACFR (should be 0)</t>
        </is>
      </c>
      <c r="B55" s="35">
        <f>B14-41472329</f>
        <v/>
      </c>
      <c r="C55" s="35">
        <f>C14-36438028</f>
        <v/>
      </c>
      <c r="D55" s="35">
        <f>D14-36467300</f>
        <v/>
      </c>
      <c r="E55" s="35">
        <f>E14-41931536</f>
        <v/>
      </c>
      <c r="F55" s="35">
        <f>F14-49057219</f>
        <v/>
      </c>
      <c r="G55" s="35">
        <f>G14-52149836</f>
        <v/>
      </c>
      <c r="H55" s="35">
        <f>H14-52053255</f>
        <v/>
      </c>
      <c r="I55" s="35">
        <f>I14-48721037</f>
        <v/>
      </c>
      <c r="J55" s="35">
        <f>J14-59203616</f>
        <v/>
      </c>
      <c r="K55" s="35">
        <f>K14-34496318</f>
        <v/>
      </c>
      <c r="L55" s="35">
        <f>L14-58474693</f>
        <v/>
      </c>
      <c r="M55" s="35">
        <f>M14-65618850</f>
        <v/>
      </c>
    </row>
    <row r="56">
      <c r="A56" s="13" t="inlineStr">
        <is>
          <t>Check: program revenues vs. ACFR (should be 0)</t>
        </is>
      </c>
      <c r="B56" s="35">
        <f>B25-15621479</f>
        <v/>
      </c>
      <c r="C56" s="35">
        <f>C25-14748213</f>
        <v/>
      </c>
      <c r="D56" s="35">
        <f>D25-12092668</f>
        <v/>
      </c>
      <c r="E56" s="35">
        <f>E25-13918591</f>
        <v/>
      </c>
      <c r="F56" s="35">
        <f>F25-16078621</f>
        <v/>
      </c>
      <c r="G56" s="35">
        <f>G25-19804877</f>
        <v/>
      </c>
      <c r="H56" s="35">
        <f>H25-14833588</f>
        <v/>
      </c>
      <c r="I56" s="35">
        <f>I25-18043491</f>
        <v/>
      </c>
      <c r="J56" s="35">
        <f>J25-18341535</f>
        <v/>
      </c>
      <c r="K56" s="35">
        <f>K25-15782240</f>
        <v/>
      </c>
      <c r="L56" s="35">
        <f>L25-20161859</f>
        <v/>
      </c>
      <c r="M56" s="35">
        <f>M25-25405773</f>
        <v/>
      </c>
    </row>
    <row r="57">
      <c r="A57" s="13" t="inlineStr">
        <is>
          <t>Check: general revenues vs. ACFR (should be 0)</t>
        </is>
      </c>
      <c r="B57" s="35">
        <f>B41-22564160</f>
        <v/>
      </c>
      <c r="C57" s="35">
        <f>C41-23693979</f>
        <v/>
      </c>
      <c r="D57" s="35">
        <f>D41-27294213</f>
        <v/>
      </c>
      <c r="E57" s="35">
        <f>E41-26538197</f>
        <v/>
      </c>
      <c r="F57" s="35">
        <f>F41-27270607</f>
        <v/>
      </c>
      <c r="G57" s="35">
        <f>G41-22746639</f>
        <v/>
      </c>
      <c r="H57" s="35">
        <f>H41-32176478</f>
        <v/>
      </c>
      <c r="I57" s="35">
        <f>I41-34273293</f>
        <v/>
      </c>
      <c r="J57" s="35">
        <f>J41-38688323</f>
        <v/>
      </c>
      <c r="K57" s="35">
        <f>K41-43561646</f>
        <v/>
      </c>
      <c r="L57" s="35">
        <f>L41-43908102</f>
        <v/>
      </c>
      <c r="M57" s="35">
        <f>M41-43735591</f>
        <v/>
      </c>
    </row>
    <row r="58">
      <c r="A58" s="13" t="inlineStr">
        <is>
          <t>Check: change in net position vs. ACFR (should be 0)</t>
        </is>
      </c>
      <c r="B58" s="35">
        <f>B43--3286690</f>
        <v/>
      </c>
      <c r="C58" s="35">
        <f>C43-2004164</f>
        <v/>
      </c>
      <c r="D58" s="35">
        <f>D43-2919581</f>
        <v/>
      </c>
      <c r="E58" s="35">
        <f>E43--1474748</f>
        <v/>
      </c>
      <c r="F58" s="35">
        <f>F43--5707991</f>
        <v/>
      </c>
      <c r="G58" s="35">
        <f>G43--9598320</f>
        <v/>
      </c>
      <c r="H58" s="35">
        <f>H43--5043189</f>
        <v/>
      </c>
      <c r="I58" s="35">
        <f>I43-3595747</f>
        <v/>
      </c>
      <c r="J58" s="35">
        <f>J43--2173758</f>
        <v/>
      </c>
      <c r="K58" s="35">
        <f>K43-24847568</f>
        <v/>
      </c>
      <c r="L58" s="35">
        <f>L43-5595268</f>
        <v/>
      </c>
      <c r="M58" s="35">
        <f>M43-3522514</f>
        <v/>
      </c>
    </row>
    <row r="59">
      <c r="A59" s="2" t="n"/>
      <c r="B59" s="2" t="n"/>
      <c r="C59" s="2" t="n"/>
      <c r="D59" s="2" t="n"/>
      <c r="E59" s="2" t="n"/>
      <c r="F59" s="2" t="n"/>
      <c r="G59" s="2" t="n"/>
      <c r="H59" s="2" t="n"/>
      <c r="I59" s="2" t="n"/>
      <c r="J59" s="2" t="n"/>
      <c r="K59" s="2" t="n"/>
      <c r="L59" s="2" t="n"/>
      <c r="M59" s="2" t="n"/>
    </row>
    <row r="60">
      <c r="A60" s="19" t="inlineStr">
        <is>
          <t>NET (EXPENSE) REVENUE BY FUNCTION (basic Statement of Activities format)</t>
        </is>
      </c>
      <c r="B60" s="20" t="n"/>
      <c r="C60" s="20" t="n"/>
      <c r="D60" s="20" t="n"/>
      <c r="E60" s="20" t="n"/>
      <c r="F60" s="20" t="n"/>
      <c r="G60" s="20" t="n"/>
      <c r="H60" s="20" t="n"/>
      <c r="I60" s="20" t="n"/>
      <c r="J60" s="20" t="n"/>
      <c r="K60" s="20" t="n"/>
      <c r="L60" s="20" t="n"/>
      <c r="M60" s="20" t="n"/>
    </row>
    <row r="61">
      <c r="A61" s="12" t="inlineStr">
        <is>
          <t>General government</t>
        </is>
      </c>
      <c r="B61" s="2" t="n"/>
      <c r="C61" s="2" t="n"/>
      <c r="D61" s="2" t="n"/>
      <c r="E61" s="2" t="n"/>
      <c r="F61" s="2" t="n"/>
      <c r="G61" s="2" t="n"/>
      <c r="H61" s="2" t="n"/>
      <c r="I61" s="2" t="n"/>
      <c r="J61" s="2" t="n"/>
      <c r="K61" s="2" t="n"/>
      <c r="L61" s="2" t="n"/>
      <c r="M61" s="2" t="n"/>
    </row>
    <row r="62">
      <c r="A62" s="26" t="inlineStr">
        <is>
          <t>Operating grants and contributions</t>
        </is>
      </c>
      <c r="B62" s="29" t="n">
        <v>47941</v>
      </c>
      <c r="C62" s="29" t="n">
        <v>72516</v>
      </c>
      <c r="D62" s="29" t="n">
        <v>11767</v>
      </c>
      <c r="E62" s="29" t="n">
        <v>1790</v>
      </c>
      <c r="F62" s="29" t="n">
        <v>1440</v>
      </c>
      <c r="G62" s="29" t="n">
        <v>600</v>
      </c>
      <c r="H62" s="29" t="n">
        <v>350</v>
      </c>
      <c r="I62" s="29" t="n">
        <v>3359126</v>
      </c>
      <c r="J62" s="29" t="n">
        <v>3051028</v>
      </c>
      <c r="K62" s="29" t="n">
        <v>0</v>
      </c>
      <c r="L62" s="29" t="n">
        <v>0</v>
      </c>
      <c r="M62" s="29" t="n">
        <v>658813</v>
      </c>
    </row>
    <row r="63">
      <c r="A63" s="26" t="inlineStr">
        <is>
          <t>Capital grants and contributions</t>
        </is>
      </c>
      <c r="B63" s="29" t="n">
        <v>0</v>
      </c>
      <c r="C63" s="29" t="n">
        <v>2586000</v>
      </c>
      <c r="D63" s="29" t="n">
        <v>0</v>
      </c>
      <c r="E63" s="29" t="n">
        <v>0</v>
      </c>
      <c r="F63" s="29" t="n">
        <v>0</v>
      </c>
      <c r="G63" s="29" t="n">
        <v>0</v>
      </c>
      <c r="H63" s="29" t="n">
        <v>0</v>
      </c>
      <c r="I63" s="29" t="n">
        <v>0</v>
      </c>
      <c r="J63" s="29" t="n">
        <v>0</v>
      </c>
      <c r="K63" s="29" t="n">
        <v>0</v>
      </c>
      <c r="L63" s="29" t="n">
        <v>0</v>
      </c>
      <c r="M63" s="29" t="n">
        <v>0</v>
      </c>
    </row>
    <row r="64">
      <c r="A64" s="70" t="inlineStr">
        <is>
          <t>Net (expense) revenue</t>
        </is>
      </c>
      <c r="B64" s="27">
        <f>B18+B62+B63-B8</f>
        <v/>
      </c>
      <c r="C64" s="27">
        <f>C18+C62+C63-C8</f>
        <v/>
      </c>
      <c r="D64" s="27">
        <f>D18+D62+D63-D8</f>
        <v/>
      </c>
      <c r="E64" s="27">
        <f>E18+E62+E63-E8</f>
        <v/>
      </c>
      <c r="F64" s="27">
        <f>F18+F62+F63-F8</f>
        <v/>
      </c>
      <c r="G64" s="27">
        <f>G18+G62+G63-G8</f>
        <v/>
      </c>
      <c r="H64" s="27">
        <f>H18+H62+H63-H8</f>
        <v/>
      </c>
      <c r="I64" s="27">
        <f>I18+I62+I63-I8</f>
        <v/>
      </c>
      <c r="J64" s="27">
        <f>J18+J62+J63-J8</f>
        <v/>
      </c>
      <c r="K64" s="27">
        <f>K18+K62+K63-K8</f>
        <v/>
      </c>
      <c r="L64" s="27">
        <f>L18+L62+L63-L8</f>
        <v/>
      </c>
      <c r="M64" s="27">
        <f>M18+M62+M63-M8</f>
        <v/>
      </c>
    </row>
    <row r="65">
      <c r="A65" s="12" t="inlineStr">
        <is>
          <t>Public works</t>
        </is>
      </c>
      <c r="B65" s="2" t="n"/>
      <c r="C65" s="2" t="n"/>
      <c r="D65" s="2" t="n"/>
      <c r="E65" s="2" t="n"/>
      <c r="F65" s="2" t="n"/>
      <c r="G65" s="2" t="n"/>
      <c r="H65" s="2" t="n"/>
      <c r="I65" s="2" t="n"/>
      <c r="J65" s="2" t="n"/>
      <c r="K65" s="2" t="n"/>
      <c r="L65" s="2" t="n"/>
      <c r="M65" s="2" t="n"/>
    </row>
    <row r="66">
      <c r="A66" s="26" t="inlineStr">
        <is>
          <t>Operating grants and contributions</t>
        </is>
      </c>
      <c r="B66" s="29" t="n">
        <v>1517112</v>
      </c>
      <c r="C66" s="29" t="n">
        <v>1466138</v>
      </c>
      <c r="D66" s="29" t="n">
        <v>1288043</v>
      </c>
      <c r="E66" s="29" t="n">
        <v>537675</v>
      </c>
      <c r="F66" s="29" t="n">
        <v>597016</v>
      </c>
      <c r="G66" s="29" t="n">
        <v>1864450</v>
      </c>
      <c r="H66" s="29" t="n">
        <v>1031171</v>
      </c>
      <c r="I66" s="29" t="n">
        <v>404508</v>
      </c>
      <c r="J66" s="29" t="n">
        <v>404597</v>
      </c>
      <c r="K66" s="29" t="n">
        <v>332996</v>
      </c>
      <c r="L66" s="29" t="n">
        <v>300469</v>
      </c>
      <c r="M66" s="29" t="n">
        <v>332501</v>
      </c>
    </row>
    <row r="67">
      <c r="A67" s="26" t="inlineStr">
        <is>
          <t>Capital grants and contributions</t>
        </is>
      </c>
      <c r="B67" s="29" t="n">
        <v>2606487</v>
      </c>
      <c r="C67" s="29" t="n">
        <v>1007571</v>
      </c>
      <c r="D67" s="29" t="n">
        <v>1573560</v>
      </c>
      <c r="E67" s="29" t="n">
        <v>2030912</v>
      </c>
      <c r="F67" s="29" t="n">
        <v>2805400</v>
      </c>
      <c r="G67" s="29" t="n">
        <v>5122545</v>
      </c>
      <c r="H67" s="29" t="n">
        <v>2744098</v>
      </c>
      <c r="I67" s="29" t="n">
        <v>3317784</v>
      </c>
      <c r="J67" s="29" t="n">
        <v>1280680</v>
      </c>
      <c r="K67" s="29" t="n">
        <v>1709112</v>
      </c>
      <c r="L67" s="29" t="n">
        <v>4841678</v>
      </c>
      <c r="M67" s="29" t="n">
        <v>6733923</v>
      </c>
    </row>
    <row r="68">
      <c r="A68" s="70" t="inlineStr">
        <is>
          <t>Net (expense) revenue</t>
        </is>
      </c>
      <c r="B68" s="27">
        <f>B19+B66+B67-B9</f>
        <v/>
      </c>
      <c r="C68" s="27">
        <f>C19+C66+C67-C9</f>
        <v/>
      </c>
      <c r="D68" s="27">
        <f>D19+D66+D67-D9</f>
        <v/>
      </c>
      <c r="E68" s="27">
        <f>E19+E66+E67-E9</f>
        <v/>
      </c>
      <c r="F68" s="27">
        <f>F19+F66+F67-F9</f>
        <v/>
      </c>
      <c r="G68" s="27">
        <f>G19+G66+G67-G9</f>
        <v/>
      </c>
      <c r="H68" s="27">
        <f>H19+H66+H67-H9</f>
        <v/>
      </c>
      <c r="I68" s="27">
        <f>I19+I66+I67-I9</f>
        <v/>
      </c>
      <c r="J68" s="27">
        <f>J19+J66+J67-J9</f>
        <v/>
      </c>
      <c r="K68" s="27">
        <f>K19+K66+K67-K9</f>
        <v/>
      </c>
      <c r="L68" s="27">
        <f>L19+L66+L67-L9</f>
        <v/>
      </c>
      <c r="M68" s="27">
        <f>M19+M66+M67-M9</f>
        <v/>
      </c>
    </row>
    <row r="69">
      <c r="A69" s="12" t="inlineStr">
        <is>
          <t>Recreation</t>
        </is>
      </c>
      <c r="B69" s="2" t="n"/>
      <c r="C69" s="2" t="n"/>
      <c r="D69" s="2" t="n"/>
      <c r="E69" s="2" t="n"/>
      <c r="F69" s="2" t="n"/>
      <c r="G69" s="2" t="n"/>
      <c r="H69" s="2" t="n"/>
      <c r="I69" s="2" t="n"/>
      <c r="J69" s="2" t="n"/>
      <c r="K69" s="2" t="n"/>
      <c r="L69" s="2" t="n"/>
      <c r="M69" s="2" t="n"/>
    </row>
    <row r="70">
      <c r="A70" s="26" t="inlineStr">
        <is>
          <t>Operating grants and contributions</t>
        </is>
      </c>
      <c r="B70" s="29" t="n">
        <v>160125</v>
      </c>
      <c r="C70" s="29" t="n">
        <v>168516</v>
      </c>
      <c r="D70" s="29" t="n">
        <v>182217</v>
      </c>
      <c r="E70" s="29" t="n">
        <v>47382</v>
      </c>
      <c r="F70" s="29" t="n">
        <v>41365</v>
      </c>
      <c r="G70" s="29" t="n">
        <v>26934</v>
      </c>
      <c r="H70" s="29" t="n">
        <v>22958</v>
      </c>
      <c r="I70" s="29" t="n">
        <v>384569</v>
      </c>
      <c r="J70" s="29" t="n">
        <v>0</v>
      </c>
      <c r="K70" s="29" t="n">
        <v>0</v>
      </c>
      <c r="L70" s="29" t="n">
        <v>0</v>
      </c>
      <c r="M70" s="29" t="n">
        <v>56222</v>
      </c>
    </row>
    <row r="71">
      <c r="A71" s="26" t="inlineStr">
        <is>
          <t>Capital grants and contributions</t>
        </is>
      </c>
      <c r="B71" s="29" t="n">
        <v>0</v>
      </c>
      <c r="C71" s="29" t="n">
        <v>0</v>
      </c>
      <c r="D71" s="29" t="n">
        <v>0</v>
      </c>
      <c r="E71" s="29" t="n">
        <v>9000</v>
      </c>
      <c r="F71" s="29" t="n">
        <v>174240</v>
      </c>
      <c r="G71" s="29" t="n">
        <v>4591</v>
      </c>
      <c r="H71" s="29" t="n">
        <v>23370</v>
      </c>
      <c r="I71" s="29" t="n">
        <v>0</v>
      </c>
      <c r="J71" s="29" t="n">
        <v>0</v>
      </c>
      <c r="K71" s="29" t="n">
        <v>0</v>
      </c>
      <c r="L71" s="29" t="n">
        <v>0</v>
      </c>
      <c r="M71" s="29" t="n">
        <v>0</v>
      </c>
    </row>
    <row r="72">
      <c r="A72" s="70" t="inlineStr">
        <is>
          <t>Net (expense) revenue</t>
        </is>
      </c>
      <c r="B72" s="27">
        <f>B20+B70+B71-B10</f>
        <v/>
      </c>
      <c r="C72" s="27">
        <f>C20+C70+C71-C10</f>
        <v/>
      </c>
      <c r="D72" s="27">
        <f>D20+D70+D71-D10</f>
        <v/>
      </c>
      <c r="E72" s="27">
        <f>E20+E70+E71-E10</f>
        <v/>
      </c>
      <c r="F72" s="27">
        <f>F20+F70+F71-F10</f>
        <v/>
      </c>
      <c r="G72" s="27">
        <f>G20+G70+G71-G10</f>
        <v/>
      </c>
      <c r="H72" s="27">
        <f>H20+H70+H71-H10</f>
        <v/>
      </c>
      <c r="I72" s="27">
        <f>I20+I70+I71-I10</f>
        <v/>
      </c>
      <c r="J72" s="27">
        <f>J20+J70+J71-J10</f>
        <v/>
      </c>
      <c r="K72" s="27">
        <f>K20+K70+K71-K10</f>
        <v/>
      </c>
      <c r="L72" s="27">
        <f>L20+L70+L71-L10</f>
        <v/>
      </c>
      <c r="M72" s="27">
        <f>M20+M70+M71-M10</f>
        <v/>
      </c>
    </row>
    <row r="73">
      <c r="A73" s="12" t="inlineStr">
        <is>
          <t>Community development</t>
        </is>
      </c>
      <c r="B73" s="2" t="n"/>
      <c r="C73" s="2" t="n"/>
      <c r="D73" s="2" t="n"/>
      <c r="E73" s="2" t="n"/>
      <c r="F73" s="2" t="n"/>
      <c r="G73" s="2" t="n"/>
      <c r="H73" s="2" t="n"/>
      <c r="I73" s="2" t="n"/>
      <c r="J73" s="2" t="n"/>
      <c r="K73" s="2" t="n"/>
      <c r="L73" s="2" t="n"/>
      <c r="M73" s="2" t="n"/>
    </row>
    <row r="74">
      <c r="A74" s="26" t="inlineStr">
        <is>
          <t>Operating grants and contributions</t>
        </is>
      </c>
      <c r="B74" s="29" t="n">
        <v>637464</v>
      </c>
      <c r="C74" s="29" t="n">
        <v>23000</v>
      </c>
      <c r="D74" s="29" t="n">
        <v>227101</v>
      </c>
      <c r="E74" s="29" t="n">
        <v>75</v>
      </c>
      <c r="F74" s="29" t="n">
        <v>536</v>
      </c>
      <c r="G74" s="29" t="n">
        <v>62679</v>
      </c>
      <c r="H74" s="29" t="n">
        <v>140</v>
      </c>
      <c r="I74" s="29" t="n">
        <v>5703</v>
      </c>
      <c r="J74" s="29" t="n">
        <v>0</v>
      </c>
      <c r="K74" s="29" t="n">
        <v>140509</v>
      </c>
      <c r="L74" s="29" t="n">
        <v>396686</v>
      </c>
      <c r="M74" s="29" t="n">
        <v>406936</v>
      </c>
    </row>
    <row r="75">
      <c r="A75" s="26" t="inlineStr">
        <is>
          <t>Capital grants and contributions</t>
        </is>
      </c>
      <c r="B75" s="29" t="n">
        <v>84643</v>
      </c>
      <c r="C75" s="29" t="n">
        <v>0</v>
      </c>
      <c r="D75" s="29" t="n">
        <v>0</v>
      </c>
      <c r="E75" s="29" t="n">
        <v>0</v>
      </c>
      <c r="F75" s="29" t="n">
        <v>34192</v>
      </c>
      <c r="G75" s="29" t="n">
        <v>-34129</v>
      </c>
      <c r="H75" s="29" t="n">
        <v>0</v>
      </c>
      <c r="I75" s="29" t="n">
        <v>0</v>
      </c>
      <c r="J75" s="29" t="n">
        <v>0</v>
      </c>
      <c r="K75" s="29" t="n">
        <v>0</v>
      </c>
      <c r="L75" s="29" t="n">
        <v>0</v>
      </c>
      <c r="M75" s="29" t="n">
        <v>62670</v>
      </c>
    </row>
    <row r="76">
      <c r="A76" s="70" t="inlineStr">
        <is>
          <t>Net (expense) revenue</t>
        </is>
      </c>
      <c r="B76" s="27">
        <f>B21+B74+B75-B11</f>
        <v/>
      </c>
      <c r="C76" s="27">
        <f>C21+C74+C75-C11</f>
        <v/>
      </c>
      <c r="D76" s="27">
        <f>D21+D74+D75-D11</f>
        <v/>
      </c>
      <c r="E76" s="27">
        <f>E21+E74+E75-E11</f>
        <v/>
      </c>
      <c r="F76" s="27">
        <f>F21+F74+F75-F11</f>
        <v/>
      </c>
      <c r="G76" s="27">
        <f>G21+G74+G75-G11</f>
        <v/>
      </c>
      <c r="H76" s="27">
        <f>H21+H74+H75-H11</f>
        <v/>
      </c>
      <c r="I76" s="27">
        <f>I21+I74+I75-I11</f>
        <v/>
      </c>
      <c r="J76" s="27">
        <f>J21+J74+J75-J11</f>
        <v/>
      </c>
      <c r="K76" s="27">
        <f>K21+K74+K75-K11</f>
        <v/>
      </c>
      <c r="L76" s="27">
        <f>L21+L74+L75-L11</f>
        <v/>
      </c>
      <c r="M76" s="27">
        <f>M21+M74+M75-M11</f>
        <v/>
      </c>
    </row>
    <row r="77">
      <c r="A77" s="12" t="inlineStr">
        <is>
          <t>Public safety</t>
        </is>
      </c>
      <c r="B77" s="2" t="n"/>
      <c r="C77" s="2" t="n"/>
      <c r="D77" s="2" t="n"/>
      <c r="E77" s="2" t="n"/>
      <c r="F77" s="2" t="n"/>
      <c r="G77" s="2" t="n"/>
      <c r="H77" s="2" t="n"/>
      <c r="I77" s="2" t="n"/>
      <c r="J77" s="2" t="n"/>
      <c r="K77" s="2" t="n"/>
      <c r="L77" s="2" t="n"/>
      <c r="M77" s="2" t="n"/>
    </row>
    <row r="78">
      <c r="A78" s="26" t="inlineStr">
        <is>
          <t>Operating grants and contributions</t>
        </is>
      </c>
      <c r="B78" s="29" t="n">
        <v>704847</v>
      </c>
      <c r="C78" s="29" t="n">
        <v>1032579</v>
      </c>
      <c r="D78" s="29" t="n">
        <v>787127</v>
      </c>
      <c r="E78" s="29" t="n">
        <v>1355158</v>
      </c>
      <c r="F78" s="29" t="n">
        <v>1770085</v>
      </c>
      <c r="G78" s="29" t="n">
        <v>1579799</v>
      </c>
      <c r="H78" s="29" t="n">
        <v>1274498</v>
      </c>
      <c r="I78" s="29" t="n">
        <v>1479003</v>
      </c>
      <c r="J78" s="29" t="n">
        <v>1342292</v>
      </c>
      <c r="K78" s="29" t="n">
        <v>963666</v>
      </c>
      <c r="L78" s="29" t="n">
        <v>853556</v>
      </c>
      <c r="M78" s="29" t="n">
        <v>1913803</v>
      </c>
    </row>
    <row r="79">
      <c r="A79" s="26" t="inlineStr">
        <is>
          <t>Capital grants and contributions</t>
        </is>
      </c>
      <c r="B79" s="29" t="n">
        <v>945913</v>
      </c>
      <c r="C79" s="29" t="n">
        <v>83904</v>
      </c>
      <c r="D79" s="29" t="n">
        <v>0</v>
      </c>
      <c r="E79" s="29" t="n">
        <v>0</v>
      </c>
      <c r="F79" s="29" t="n">
        <v>0</v>
      </c>
      <c r="G79" s="29" t="n">
        <v>0</v>
      </c>
      <c r="H79" s="29" t="n">
        <v>0</v>
      </c>
      <c r="I79" s="29" t="n">
        <v>0</v>
      </c>
      <c r="J79" s="29" t="n">
        <v>0</v>
      </c>
      <c r="K79" s="29" t="n">
        <v>0</v>
      </c>
      <c r="L79" s="29" t="n">
        <v>0</v>
      </c>
      <c r="M79" s="29" t="n">
        <v>0</v>
      </c>
    </row>
    <row r="80">
      <c r="A80" s="70" t="inlineStr">
        <is>
          <t>Net (expense) revenue</t>
        </is>
      </c>
      <c r="B80" s="27">
        <f>B22+B78+B79-B12</f>
        <v/>
      </c>
      <c r="C80" s="27">
        <f>C22+C78+C79-C12</f>
        <v/>
      </c>
      <c r="D80" s="27">
        <f>D22+D78+D79-D12</f>
        <v/>
      </c>
      <c r="E80" s="27">
        <f>E22+E78+E79-E12</f>
        <v/>
      </c>
      <c r="F80" s="27">
        <f>F22+F78+F79-F12</f>
        <v/>
      </c>
      <c r="G80" s="27">
        <f>G22+G78+G79-G12</f>
        <v/>
      </c>
      <c r="H80" s="27">
        <f>H22+H78+H79-H12</f>
        <v/>
      </c>
      <c r="I80" s="27">
        <f>I22+I78+I79-I12</f>
        <v/>
      </c>
      <c r="J80" s="27">
        <f>J22+J78+J79-J12</f>
        <v/>
      </c>
      <c r="K80" s="27">
        <f>K22+K78+K79-K12</f>
        <v/>
      </c>
      <c r="L80" s="27">
        <f>L22+L78+L79-L12</f>
        <v/>
      </c>
      <c r="M80" s="27">
        <f>M22+M78+M79-M12</f>
        <v/>
      </c>
    </row>
    <row r="81">
      <c r="A81" s="12" t="inlineStr">
        <is>
          <t>Interest on long-term debt - net expense</t>
        </is>
      </c>
      <c r="B81" s="27">
        <f>-B13</f>
        <v/>
      </c>
      <c r="C81" s="27">
        <f>-C13</f>
        <v/>
      </c>
      <c r="D81" s="27">
        <f>-D13</f>
        <v/>
      </c>
      <c r="E81" s="27">
        <f>-E13</f>
        <v/>
      </c>
      <c r="F81" s="27">
        <f>-F13</f>
        <v/>
      </c>
      <c r="G81" s="27">
        <f>-G13</f>
        <v/>
      </c>
      <c r="H81" s="27">
        <f>-H13</f>
        <v/>
      </c>
      <c r="I81" s="27">
        <f>-I13</f>
        <v/>
      </c>
      <c r="J81" s="27">
        <f>-J13</f>
        <v/>
      </c>
      <c r="K81" s="27">
        <f>-K13</f>
        <v/>
      </c>
      <c r="L81" s="27">
        <f>-L13</f>
        <v/>
      </c>
      <c r="M81" s="27">
        <f>-M13</f>
        <v/>
      </c>
    </row>
    <row r="82">
      <c r="A82" s="12" t="inlineStr">
        <is>
          <t>Total net (expense) revenue by function</t>
        </is>
      </c>
      <c r="B82" s="24">
        <f>B64+B68+B72+B76+B80+B81</f>
        <v/>
      </c>
      <c r="C82" s="24">
        <f>C64+C68+C72+C76+C80+C81</f>
        <v/>
      </c>
      <c r="D82" s="24">
        <f>D64+D68+D72+D76+D80+D81</f>
        <v/>
      </c>
      <c r="E82" s="24">
        <f>E64+E68+E72+E76+E80+E81</f>
        <v/>
      </c>
      <c r="F82" s="24">
        <f>F64+F68+F72+F76+F80+F81</f>
        <v/>
      </c>
      <c r="G82" s="24">
        <f>G64+G68+G72+G76+G80+G81</f>
        <v/>
      </c>
      <c r="H82" s="24">
        <f>H64+H68+H72+H76+H80+H81</f>
        <v/>
      </c>
      <c r="I82" s="24">
        <f>I64+I68+I72+I76+I80+I81</f>
        <v/>
      </c>
      <c r="J82" s="24">
        <f>J64+J68+J72+J76+J80+J81</f>
        <v/>
      </c>
      <c r="K82" s="24">
        <f>K64+K68+K72+K76+K80+K81</f>
        <v/>
      </c>
      <c r="L82" s="24">
        <f>L64+L68+L72+L76+L80+L81</f>
        <v/>
      </c>
      <c r="M82" s="24">
        <f>M64+M68+M72+M76+M80+M81</f>
        <v/>
      </c>
    </row>
    <row r="83">
      <c r="A83" s="13" t="inlineStr">
        <is>
          <t>Check: equals net (expense) revenue above (should be 0)</t>
        </is>
      </c>
      <c r="B83" s="35">
        <f>B82-B27</f>
        <v/>
      </c>
      <c r="C83" s="35">
        <f>C82-C27</f>
        <v/>
      </c>
      <c r="D83" s="35">
        <f>D82-D27</f>
        <v/>
      </c>
      <c r="E83" s="35">
        <f>E82-E27</f>
        <v/>
      </c>
      <c r="F83" s="35">
        <f>F82-F27</f>
        <v/>
      </c>
      <c r="G83" s="35">
        <f>G82-G27</f>
        <v/>
      </c>
      <c r="H83" s="35">
        <f>H82-H27</f>
        <v/>
      </c>
      <c r="I83" s="35">
        <f>I82-I27</f>
        <v/>
      </c>
      <c r="J83" s="35">
        <f>J82-J27</f>
        <v/>
      </c>
      <c r="K83" s="35">
        <f>K82-K27</f>
        <v/>
      </c>
      <c r="L83" s="35">
        <f>L82-L27</f>
        <v/>
      </c>
      <c r="M83" s="35">
        <f>M82-M27</f>
        <v/>
      </c>
    </row>
    <row r="84">
      <c r="A84" s="13" t="inlineStr">
        <is>
          <t>Check: operating grants by function vs. total (should be 0)</t>
        </is>
      </c>
      <c r="B84" s="35">
        <f>B62+B66+B70+B74+B78-B23</f>
        <v/>
      </c>
      <c r="C84" s="35">
        <f>C62+C66+C70+C74+C78-C23</f>
        <v/>
      </c>
      <c r="D84" s="35">
        <f>D62+D66+D70+D74+D78-D23</f>
        <v/>
      </c>
      <c r="E84" s="35">
        <f>E62+E66+E70+E74+E78-E23</f>
        <v/>
      </c>
      <c r="F84" s="35">
        <f>F62+F66+F70+F74+F78-F23</f>
        <v/>
      </c>
      <c r="G84" s="35">
        <f>G62+G66+G70+G74+G78-G23</f>
        <v/>
      </c>
      <c r="H84" s="35">
        <f>H62+H66+H70+H74+H78-H23</f>
        <v/>
      </c>
      <c r="I84" s="35">
        <f>I62+I66+I70+I74+I78-I23</f>
        <v/>
      </c>
      <c r="J84" s="35">
        <f>J62+J66+J70+J74+J78-J23</f>
        <v/>
      </c>
      <c r="K84" s="35">
        <f>K62+K66+K70+K74+K78-K23</f>
        <v/>
      </c>
      <c r="L84" s="35">
        <f>L62+L66+L70+L74+L78-L23</f>
        <v/>
      </c>
      <c r="M84" s="35">
        <f>M62+M66+M70+M74+M78-M23</f>
        <v/>
      </c>
    </row>
    <row r="85">
      <c r="A85" s="13" t="inlineStr">
        <is>
          <t>Check: capital grants by function vs. total (should be 0)</t>
        </is>
      </c>
      <c r="B85" s="35">
        <f>B63+B67+B71+B75+B79-B24</f>
        <v/>
      </c>
      <c r="C85" s="35">
        <f>C63+C67+C71+C75+C79-C24</f>
        <v/>
      </c>
      <c r="D85" s="35">
        <f>D63+D67+D71+D75+D79-D24</f>
        <v/>
      </c>
      <c r="E85" s="35">
        <f>E63+E67+E71+E75+E79-E24</f>
        <v/>
      </c>
      <c r="F85" s="35">
        <f>F63+F67+F71+F75+F79-F24</f>
        <v/>
      </c>
      <c r="G85" s="35">
        <f>G63+G67+G71+G75+G79-G24</f>
        <v/>
      </c>
      <c r="H85" s="35">
        <f>H63+H67+H71+H75+H79-H24</f>
        <v/>
      </c>
      <c r="I85" s="35">
        <f>I63+I67+I71+I75+I79-I24</f>
        <v/>
      </c>
      <c r="J85" s="35">
        <f>J63+J67+J71+J75+J79-J24</f>
        <v/>
      </c>
      <c r="K85" s="35">
        <f>K63+K67+K71+K75+K79-K24</f>
        <v/>
      </c>
      <c r="L85" s="35">
        <f>L63+L67+L71+L75+L79-L24</f>
        <v/>
      </c>
      <c r="M85" s="35">
        <f>M63+M67+M71+M75+M79-M24</f>
        <v/>
      </c>
    </row>
    <row r="86">
      <c r="A86" s="13" t="inlineStr">
        <is>
          <t>Public safety: share of cost paid by general revenues</t>
        </is>
      </c>
      <c r="B86" s="33">
        <f>IFERROR(-B80/B12,0)</f>
        <v/>
      </c>
      <c r="C86" s="33">
        <f>IFERROR(-C80/C12,0)</f>
        <v/>
      </c>
      <c r="D86" s="33">
        <f>IFERROR(-D80/D12,0)</f>
        <v/>
      </c>
      <c r="E86" s="33">
        <f>IFERROR(-E80/E12,0)</f>
        <v/>
      </c>
      <c r="F86" s="33">
        <f>IFERROR(-F80/F12,0)</f>
        <v/>
      </c>
      <c r="G86" s="33">
        <f>IFERROR(-G80/G12,0)</f>
        <v/>
      </c>
      <c r="H86" s="33">
        <f>IFERROR(-H80/H12,0)</f>
        <v/>
      </c>
      <c r="I86" s="33">
        <f>IFERROR(-I80/I12,0)</f>
        <v/>
      </c>
      <c r="J86" s="33">
        <f>IFERROR(-J80/J12,0)</f>
        <v/>
      </c>
      <c r="K86" s="33">
        <f>IFERROR(-K80/K12,0)</f>
        <v/>
      </c>
      <c r="L86" s="33">
        <f>IFERROR(-L80/L12,0)</f>
        <v/>
      </c>
      <c r="M86" s="33">
        <f>IFERROR(-M80/M12,0)</f>
        <v/>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375623"/>
    <outlinePr summaryBelow="1" summaryRight="1"/>
    <pageSetUpPr/>
  </sheetPr>
  <dimension ref="A1:M2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CITYWIDE (governmental activities)</t>
        </is>
      </c>
      <c r="B1" s="2" t="n"/>
      <c r="C1" s="2" t="n"/>
      <c r="D1" s="2" t="n"/>
      <c r="E1" s="2" t="n"/>
      <c r="F1" s="2" t="n"/>
      <c r="G1" s="2" t="n"/>
      <c r="H1" s="2" t="n"/>
      <c r="I1" s="2" t="n"/>
      <c r="J1" s="2" t="n"/>
      <c r="K1" s="2" t="n"/>
      <c r="L1" s="2" t="n"/>
      <c r="M1" s="2" t="n"/>
    </row>
    <row r="2">
      <c r="A2" s="12" t="inlineStr">
        <is>
          <t>Capital assets (buildings, equipment, infrastructure), June 30, $</t>
        </is>
      </c>
      <c r="B2" s="2" t="n"/>
      <c r="C2" s="2" t="n"/>
      <c r="D2" s="2" t="n"/>
      <c r="E2" s="2" t="n"/>
      <c r="F2" s="2" t="n"/>
      <c r="G2" s="2" t="n"/>
      <c r="H2" s="2" t="n"/>
      <c r="I2" s="2" t="n"/>
      <c r="J2" s="2" t="n"/>
      <c r="K2" s="2" t="n"/>
      <c r="L2" s="2" t="n"/>
      <c r="M2" s="2" t="n"/>
    </row>
    <row r="3">
      <c r="A3" s="7" t="inlineStr">
        <is>
          <t>Historical cost by class less accumulated depreciation. Source: MD&amp;A capital asset table / capital assets note in each CAFR/ACFR.</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AT HISTORICAL COST</t>
        </is>
      </c>
      <c r="B7" s="20" t="n"/>
      <c r="C7" s="20" t="n"/>
      <c r="D7" s="20" t="n"/>
      <c r="E7" s="20" t="n"/>
      <c r="F7" s="20" t="n"/>
      <c r="G7" s="20" t="n"/>
      <c r="H7" s="20" t="n"/>
      <c r="I7" s="20" t="n"/>
      <c r="J7" s="20" t="n"/>
      <c r="K7" s="20" t="n"/>
      <c r="L7" s="20" t="n"/>
      <c r="M7" s="20" t="n"/>
    </row>
    <row r="8">
      <c r="A8" s="21" t="inlineStr">
        <is>
          <t>Land</t>
        </is>
      </c>
      <c r="B8" s="29" t="n">
        <v>4410941</v>
      </c>
      <c r="C8" s="29" t="n">
        <v>4888926</v>
      </c>
      <c r="D8" s="29" t="n">
        <v>4888926</v>
      </c>
      <c r="E8" s="29" t="n">
        <v>4888926</v>
      </c>
      <c r="F8" s="29" t="n">
        <v>4888926</v>
      </c>
      <c r="G8" s="29" t="n">
        <v>4888926</v>
      </c>
      <c r="H8" s="29" t="n">
        <v>4888926</v>
      </c>
      <c r="I8" s="29" t="n">
        <v>5191639</v>
      </c>
      <c r="J8" s="29" t="n">
        <v>5191639</v>
      </c>
      <c r="K8" s="29" t="n">
        <v>5191639</v>
      </c>
      <c r="L8" s="29" t="n">
        <v>6792165</v>
      </c>
      <c r="M8" s="29" t="n">
        <v>6792165</v>
      </c>
    </row>
    <row r="9">
      <c r="A9" s="21" t="inlineStr">
        <is>
          <t>Construction in progress</t>
        </is>
      </c>
      <c r="B9" s="29" t="n">
        <v>3639449</v>
      </c>
      <c r="C9" s="29" t="n">
        <v>4850763</v>
      </c>
      <c r="D9" s="29" t="n">
        <v>6812895</v>
      </c>
      <c r="E9" s="29" t="n">
        <v>931303</v>
      </c>
      <c r="F9" s="29" t="n">
        <v>1881129</v>
      </c>
      <c r="G9" s="29" t="n">
        <v>5270611</v>
      </c>
      <c r="H9" s="29" t="n">
        <v>977849</v>
      </c>
      <c r="I9" s="29" t="n">
        <v>798016</v>
      </c>
      <c r="J9" s="29" t="n">
        <v>3198707</v>
      </c>
      <c r="K9" s="29" t="n">
        <v>4334851</v>
      </c>
      <c r="L9" s="29" t="n">
        <v>6249008</v>
      </c>
      <c r="M9" s="29" t="n">
        <v>10366013</v>
      </c>
    </row>
    <row r="10">
      <c r="A10" s="21" t="inlineStr">
        <is>
          <t>Buildings and improvements</t>
        </is>
      </c>
      <c r="B10" s="29" t="n">
        <v>36125237</v>
      </c>
      <c r="C10" s="29" t="n">
        <v>36125237</v>
      </c>
      <c r="D10" s="29" t="n">
        <v>36125237</v>
      </c>
      <c r="E10" s="29" t="n">
        <v>32861756</v>
      </c>
      <c r="F10" s="29" t="n">
        <v>32923796</v>
      </c>
      <c r="G10" s="29" t="n">
        <v>27408552</v>
      </c>
      <c r="H10" s="29" t="n">
        <v>27408552</v>
      </c>
      <c r="I10" s="29" t="n">
        <v>27408552</v>
      </c>
      <c r="J10" s="29" t="n">
        <v>27408552</v>
      </c>
      <c r="K10" s="29" t="n">
        <v>27463510</v>
      </c>
      <c r="L10" s="29" t="n">
        <v>27058747</v>
      </c>
      <c r="M10" s="29" t="n">
        <v>28892209</v>
      </c>
    </row>
    <row r="11">
      <c r="A11" s="21" t="inlineStr">
        <is>
          <t>Equipment and vehicles (incl. right-of-use)</t>
        </is>
      </c>
      <c r="B11" s="29" t="n">
        <v>10756019</v>
      </c>
      <c r="C11" s="29" t="n">
        <v>10790917</v>
      </c>
      <c r="D11" s="29" t="n">
        <v>10946416</v>
      </c>
      <c r="E11" s="29" t="n">
        <v>5754072</v>
      </c>
      <c r="F11" s="29" t="n">
        <v>5939358</v>
      </c>
      <c r="G11" s="29" t="n">
        <v>6248620</v>
      </c>
      <c r="H11" s="29" t="n">
        <v>6613690</v>
      </c>
      <c r="I11" s="29" t="n">
        <v>6694533</v>
      </c>
      <c r="J11" s="29" t="n">
        <v>7338161</v>
      </c>
      <c r="K11" s="29" t="n">
        <v>6404496</v>
      </c>
      <c r="L11" s="29" t="n">
        <v>6609698</v>
      </c>
      <c r="M11" s="29" t="n">
        <v>8905461</v>
      </c>
    </row>
    <row r="12">
      <c r="A12" s="21" t="inlineStr">
        <is>
          <t>Infrastructure (streets, storm drains, etc.)</t>
        </is>
      </c>
      <c r="B12" s="29" t="n">
        <v>87798766</v>
      </c>
      <c r="C12" s="29" t="n">
        <v>88237020</v>
      </c>
      <c r="D12" s="29" t="n">
        <v>88253560</v>
      </c>
      <c r="E12" s="29" t="n">
        <v>77388399</v>
      </c>
      <c r="F12" s="29" t="n">
        <v>78460253</v>
      </c>
      <c r="G12" s="29" t="n">
        <v>79213482</v>
      </c>
      <c r="H12" s="29" t="n">
        <v>84950163</v>
      </c>
      <c r="I12" s="29" t="n">
        <v>86769509</v>
      </c>
      <c r="J12" s="29" t="n">
        <v>86769509</v>
      </c>
      <c r="K12" s="29" t="n">
        <v>88122931</v>
      </c>
      <c r="L12" s="29" t="n">
        <v>90120903</v>
      </c>
      <c r="M12" s="29" t="n">
        <v>91253716</v>
      </c>
    </row>
    <row r="13">
      <c r="A13" s="12" t="inlineStr">
        <is>
          <t>Total capital assets at cost</t>
        </is>
      </c>
      <c r="B13" s="24">
        <f>SUM(B8:B12)</f>
        <v/>
      </c>
      <c r="C13" s="24">
        <f>SUM(C8:C12)</f>
        <v/>
      </c>
      <c r="D13" s="24">
        <f>SUM(D8:D12)</f>
        <v/>
      </c>
      <c r="E13" s="24">
        <f>SUM(E8:E12)</f>
        <v/>
      </c>
      <c r="F13" s="24">
        <f>SUM(F8:F12)</f>
        <v/>
      </c>
      <c r="G13" s="24">
        <f>SUM(G8:G12)</f>
        <v/>
      </c>
      <c r="H13" s="24">
        <f>SUM(H8:H12)</f>
        <v/>
      </c>
      <c r="I13" s="24">
        <f>SUM(I8:I12)</f>
        <v/>
      </c>
      <c r="J13" s="24">
        <f>SUM(J8:J12)</f>
        <v/>
      </c>
      <c r="K13" s="24">
        <f>SUM(K8:K12)</f>
        <v/>
      </c>
      <c r="L13" s="24">
        <f>SUM(L8:L12)</f>
        <v/>
      </c>
      <c r="M13" s="24">
        <f>SUM(M8:M12)</f>
        <v/>
      </c>
    </row>
    <row r="14">
      <c r="A14" s="13" t="inlineStr">
        <is>
          <t>Less: accumulated depreciation and amortization</t>
        </is>
      </c>
      <c r="B14" s="29" t="n">
        <v>-57663329</v>
      </c>
      <c r="C14" s="29" t="n">
        <v>-61748045</v>
      </c>
      <c r="D14" s="29" t="n">
        <v>-65759930</v>
      </c>
      <c r="E14" s="29" t="n">
        <v>-41795557</v>
      </c>
      <c r="F14" s="29" t="n">
        <v>-46248512</v>
      </c>
      <c r="G14" s="29" t="n">
        <v>-49249564</v>
      </c>
      <c r="H14" s="29" t="n">
        <v>-53286900</v>
      </c>
      <c r="I14" s="29" t="n">
        <v>-57311937</v>
      </c>
      <c r="J14" s="29" t="n">
        <v>-61555897</v>
      </c>
      <c r="K14" s="29" t="n">
        <v>-64165557</v>
      </c>
      <c r="L14" s="29" t="n">
        <v>-67394856</v>
      </c>
      <c r="M14" s="29" t="n">
        <v>-71016177</v>
      </c>
    </row>
    <row r="15">
      <c r="A15" s="12" t="inlineStr">
        <is>
          <t>Capital assets, net</t>
        </is>
      </c>
      <c r="B15" s="31">
        <f>B13+B14</f>
        <v/>
      </c>
      <c r="C15" s="31">
        <f>C13+C14</f>
        <v/>
      </c>
      <c r="D15" s="31">
        <f>D13+D14</f>
        <v/>
      </c>
      <c r="E15" s="31">
        <f>E13+E14</f>
        <v/>
      </c>
      <c r="F15" s="31">
        <f>F13+F14</f>
        <v/>
      </c>
      <c r="G15" s="31">
        <f>G13+G14</f>
        <v/>
      </c>
      <c r="H15" s="31">
        <f>H13+H14</f>
        <v/>
      </c>
      <c r="I15" s="31">
        <f>I13+I14</f>
        <v/>
      </c>
      <c r="J15" s="31">
        <f>J13+J14</f>
        <v/>
      </c>
      <c r="K15" s="31">
        <f>K13+K14</f>
        <v/>
      </c>
      <c r="L15" s="31">
        <f>L13+L14</f>
        <v/>
      </c>
      <c r="M15" s="31">
        <f>M13+M14</f>
        <v/>
      </c>
    </row>
    <row r="16">
      <c r="A16" s="2" t="n"/>
      <c r="B16" s="2" t="n"/>
      <c r="C16" s="2" t="n"/>
      <c r="D16" s="2" t="n"/>
      <c r="E16" s="2" t="n"/>
      <c r="F16" s="2" t="n"/>
      <c r="G16" s="2" t="n"/>
      <c r="H16" s="2" t="n"/>
      <c r="I16" s="2" t="n"/>
      <c r="J16" s="2" t="n"/>
      <c r="K16" s="2" t="n"/>
      <c r="L16" s="2" t="n"/>
      <c r="M16" s="2" t="n"/>
    </row>
    <row r="17">
      <c r="A17" s="19" t="inlineStr">
        <is>
          <t>MEMO</t>
        </is>
      </c>
      <c r="B17" s="20" t="n"/>
      <c r="C17" s="20" t="n"/>
      <c r="D17" s="20" t="n"/>
      <c r="E17" s="20" t="n"/>
      <c r="F17" s="20" t="n"/>
      <c r="G17" s="20" t="n"/>
      <c r="H17" s="20" t="n"/>
      <c r="I17" s="20" t="n"/>
      <c r="J17" s="20" t="n"/>
      <c r="K17" s="20" t="n"/>
      <c r="L17" s="20" t="n"/>
      <c r="M17" s="20" t="n"/>
    </row>
    <row r="18">
      <c r="A18" s="13" t="inlineStr">
        <is>
          <t>Depreciable assets at cost (buildings, equipment, infrastructure)</t>
        </is>
      </c>
      <c r="B18" s="22">
        <f>B10+B11+B12</f>
        <v/>
      </c>
      <c r="C18" s="22">
        <f>C10+C11+C12</f>
        <v/>
      </c>
      <c r="D18" s="22">
        <f>D10+D11+D12</f>
        <v/>
      </c>
      <c r="E18" s="22">
        <f>E10+E11+E12</f>
        <v/>
      </c>
      <c r="F18" s="22">
        <f>F10+F11+F12</f>
        <v/>
      </c>
      <c r="G18" s="22">
        <f>G10+G11+G12</f>
        <v/>
      </c>
      <c r="H18" s="22">
        <f>H10+H11+H12</f>
        <v/>
      </c>
      <c r="I18" s="22">
        <f>I10+I11+I12</f>
        <v/>
      </c>
      <c r="J18" s="22">
        <f>J10+J11+J12</f>
        <v/>
      </c>
      <c r="K18" s="22">
        <f>K10+K11+K12</f>
        <v/>
      </c>
      <c r="L18" s="22">
        <f>L10+L11+L12</f>
        <v/>
      </c>
      <c r="M18" s="22">
        <f>M10+M11+M12</f>
        <v/>
      </c>
    </row>
    <row r="19">
      <c r="A19" s="13" t="inlineStr">
        <is>
          <t>Share of depreciable assets already depreciated (asset age indicator)</t>
        </is>
      </c>
      <c r="B19" s="33">
        <f>IFERROR(-B14/B18,0)</f>
        <v/>
      </c>
      <c r="C19" s="33">
        <f>IFERROR(-C14/C18,0)</f>
        <v/>
      </c>
      <c r="D19" s="33">
        <f>IFERROR(-D14/D18,0)</f>
        <v/>
      </c>
      <c r="E19" s="33">
        <f>IFERROR(-E14/E18,0)</f>
        <v/>
      </c>
      <c r="F19" s="33">
        <f>IFERROR(-F14/F18,0)</f>
        <v/>
      </c>
      <c r="G19" s="33">
        <f>IFERROR(-G14/G18,0)</f>
        <v/>
      </c>
      <c r="H19" s="33">
        <f>IFERROR(-H14/H18,0)</f>
        <v/>
      </c>
      <c r="I19" s="33">
        <f>IFERROR(-I14/I18,0)</f>
        <v/>
      </c>
      <c r="J19" s="33">
        <f>IFERROR(-J14/J18,0)</f>
        <v/>
      </c>
      <c r="K19" s="33">
        <f>IFERROR(-K14/K18,0)</f>
        <v/>
      </c>
      <c r="L19" s="33">
        <f>IFERROR(-L14/L18,0)</f>
        <v/>
      </c>
      <c r="M19" s="33">
        <f>IFERROR(-M14/M18,0)</f>
        <v/>
      </c>
    </row>
    <row r="20">
      <c r="A20" s="13" t="inlineStr">
        <is>
          <t>Depreciation expense (where disclosed)</t>
        </is>
      </c>
      <c r="B20" s="29" t="inlineStr"/>
      <c r="C20" s="29" t="inlineStr"/>
      <c r="D20" s="29" t="inlineStr"/>
      <c r="E20" s="29" t="inlineStr"/>
      <c r="F20" s="29" t="inlineStr"/>
      <c r="G20" s="29" t="inlineStr"/>
      <c r="H20" s="29" t="inlineStr"/>
      <c r="I20" s="29" t="inlineStr"/>
      <c r="J20" s="29" t="n">
        <v>3857782</v>
      </c>
      <c r="K20" s="29" t="inlineStr"/>
      <c r="L20" s="29" t="n">
        <v>3690407</v>
      </c>
      <c r="M20" s="29" t="n">
        <v>3969230</v>
      </c>
    </row>
    <row r="21">
      <c r="A21" s="13" t="inlineStr">
        <is>
          <t>Change in net capital assets vs. prior year</t>
        </is>
      </c>
      <c r="B21" s="22">
        <f>0</f>
        <v/>
      </c>
      <c r="C21" s="22">
        <f>C15-B15</f>
        <v/>
      </c>
      <c r="D21" s="22">
        <f>D15-C15</f>
        <v/>
      </c>
      <c r="E21" s="22">
        <f>E15-D15</f>
        <v/>
      </c>
      <c r="F21" s="22">
        <f>F15-E15</f>
        <v/>
      </c>
      <c r="G21" s="22">
        <f>G15-F15</f>
        <v/>
      </c>
      <c r="H21" s="22">
        <f>H15-G15</f>
        <v/>
      </c>
      <c r="I21" s="22">
        <f>I15-H15</f>
        <v/>
      </c>
      <c r="J21" s="22">
        <f>J15-I15</f>
        <v/>
      </c>
      <c r="K21" s="22">
        <f>K15-J15</f>
        <v/>
      </c>
      <c r="L21" s="22">
        <f>L15-K15</f>
        <v/>
      </c>
      <c r="M21" s="22">
        <f>M15-L15</f>
        <v/>
      </c>
    </row>
    <row r="22">
      <c r="A22" s="2" t="n"/>
      <c r="B22" s="2" t="n"/>
      <c r="C22" s="2" t="n"/>
      <c r="D22" s="2" t="n"/>
      <c r="E22" s="2" t="n"/>
      <c r="F22" s="2" t="n"/>
      <c r="G22" s="2" t="n"/>
      <c r="H22" s="2" t="n"/>
      <c r="I22" s="2" t="n"/>
      <c r="J22" s="2" t="n"/>
      <c r="K22" s="2" t="n"/>
      <c r="L22" s="2" t="n"/>
      <c r="M22" s="2" t="n"/>
    </row>
    <row r="23">
      <c r="A23" s="13" t="inlineStr">
        <is>
          <t>Check: net vs. CW_Net_Position capital assets (should be 0)</t>
        </is>
      </c>
      <c r="B23" s="35">
        <f>B15-CW_Net_Position!B43</f>
        <v/>
      </c>
      <c r="C23" s="35">
        <f>C15-CW_Net_Position!C43</f>
        <v/>
      </c>
      <c r="D23" s="35">
        <f>D15-CW_Net_Position!D43</f>
        <v/>
      </c>
      <c r="E23" s="35">
        <f>E15-CW_Net_Position!E43</f>
        <v/>
      </c>
      <c r="F23" s="35">
        <f>F15-CW_Net_Position!F43</f>
        <v/>
      </c>
      <c r="G23" s="35">
        <f>G15-CW_Net_Position!G43</f>
        <v/>
      </c>
      <c r="H23" s="35">
        <f>H15-CW_Net_Position!H43</f>
        <v/>
      </c>
      <c r="I23" s="35">
        <f>I15-CW_Net_Position!I43</f>
        <v/>
      </c>
      <c r="J23" s="35">
        <f>J15-CW_Net_Position!J43</f>
        <v/>
      </c>
      <c r="K23" s="35">
        <f>K15-CW_Net_Position!K43</f>
        <v/>
      </c>
      <c r="L23" s="35">
        <f>L15-CW_Net_Position!L43</f>
        <v/>
      </c>
      <c r="M23" s="35">
        <f>M15-CW_Net_Position!M43</f>
        <v/>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375623"/>
    <outlinePr summaryBelow="1" summaryRight="1"/>
    <pageSetUpPr/>
  </sheetPr>
  <dimension ref="A1:M3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7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CITYWIDE (governmental activities)</t>
        </is>
      </c>
      <c r="B1" s="2" t="n"/>
      <c r="C1" s="2" t="n"/>
      <c r="D1" s="2" t="n"/>
      <c r="E1" s="2" t="n"/>
      <c r="F1" s="2" t="n"/>
      <c r="G1" s="2" t="n"/>
      <c r="H1" s="2" t="n"/>
      <c r="I1" s="2" t="n"/>
      <c r="J1" s="2" t="n"/>
      <c r="K1" s="2" t="n"/>
      <c r="L1" s="2" t="n"/>
      <c r="M1" s="2" t="n"/>
    </row>
    <row r="2">
      <c r="A2" s="12" t="inlineStr">
        <is>
          <t>Long-term debt, pension and other long-term liabilities, June 30, $</t>
        </is>
      </c>
      <c r="B2" s="2" t="n"/>
      <c r="C2" s="2" t="n"/>
      <c r="D2" s="2" t="n"/>
      <c r="E2" s="2" t="n"/>
      <c r="F2" s="2" t="n"/>
      <c r="G2" s="2" t="n"/>
      <c r="H2" s="2" t="n"/>
      <c r="I2" s="2" t="n"/>
      <c r="J2" s="2" t="n"/>
      <c r="K2" s="2" t="n"/>
      <c r="L2" s="2" t="n"/>
      <c r="M2" s="2" t="n"/>
    </row>
    <row r="3">
      <c r="A3" s="7" t="inlineStr">
        <is>
          <t>Debt by type from the MD&amp;A long-term debt table; other balances link to CW_Net_Position. Pension liability is the CalPERS net pension liability (actuarial); OPEB = retiree health.</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LONG-TERM DEBT</t>
        </is>
      </c>
      <c r="B7" s="20" t="n"/>
      <c r="C7" s="20" t="n"/>
      <c r="D7" s="20" t="n"/>
      <c r="E7" s="20" t="n"/>
      <c r="F7" s="20" t="n"/>
      <c r="G7" s="20" t="n"/>
      <c r="H7" s="20" t="n"/>
      <c r="I7" s="20" t="n"/>
      <c r="J7" s="20" t="n"/>
      <c r="K7" s="20" t="n"/>
      <c r="L7" s="20" t="n"/>
      <c r="M7" s="20" t="n"/>
    </row>
    <row r="8">
      <c r="A8" s="21" t="inlineStr">
        <is>
          <t>Revenue bonds and notes (incl. certificates of participation)</t>
        </is>
      </c>
      <c r="B8" s="29" t="n">
        <v>21078700</v>
      </c>
      <c r="C8" s="29" t="n">
        <v>20255400</v>
      </c>
      <c r="D8" s="29" t="n">
        <v>19407200</v>
      </c>
      <c r="E8" s="29" t="n">
        <v>18604809</v>
      </c>
      <c r="F8" s="29" t="n">
        <v>17945973</v>
      </c>
      <c r="G8" s="29" t="n">
        <v>17083159</v>
      </c>
      <c r="H8" s="29" t="n">
        <v>16016021</v>
      </c>
      <c r="I8" s="29" t="n">
        <v>15172273</v>
      </c>
      <c r="J8" s="29" t="n">
        <v>14469055</v>
      </c>
      <c r="K8" s="29" t="n">
        <v>13745837</v>
      </c>
      <c r="L8" s="29" t="n">
        <v>12590248</v>
      </c>
      <c r="M8" s="29" t="n">
        <v>11779395</v>
      </c>
    </row>
    <row r="9">
      <c r="A9" s="21" t="inlineStr">
        <is>
          <t>Capital leases / financed purchases</t>
        </is>
      </c>
      <c r="B9" s="29" t="n">
        <v>2133692</v>
      </c>
      <c r="C9" s="29" t="n">
        <v>1925719</v>
      </c>
      <c r="D9" s="29" t="n">
        <v>1713138</v>
      </c>
      <c r="E9" s="29" t="n">
        <v>1495838</v>
      </c>
      <c r="F9" s="29" t="n">
        <v>1273712</v>
      </c>
      <c r="G9" s="29" t="n">
        <v>1046650</v>
      </c>
      <c r="H9" s="29" t="n">
        <v>1180596</v>
      </c>
      <c r="I9" s="29" t="n">
        <v>990291</v>
      </c>
      <c r="J9" s="29" t="n">
        <v>1938097</v>
      </c>
      <c r="K9" s="29" t="n">
        <v>1781148</v>
      </c>
      <c r="L9" s="29" t="n">
        <v>1474237</v>
      </c>
      <c r="M9" s="29" t="n">
        <v>1525364</v>
      </c>
    </row>
    <row r="10">
      <c r="A10" s="21" t="inlineStr">
        <is>
          <t>Leases and subscription liabilities (GASB 87/96)</t>
        </is>
      </c>
      <c r="B10" s="29" t="n">
        <v>0</v>
      </c>
      <c r="C10" s="29" t="n">
        <v>0</v>
      </c>
      <c r="D10" s="29" t="n">
        <v>0</v>
      </c>
      <c r="E10" s="29" t="n">
        <v>0</v>
      </c>
      <c r="F10" s="29" t="n">
        <v>0</v>
      </c>
      <c r="G10" s="29" t="n">
        <v>0</v>
      </c>
      <c r="H10" s="29" t="n">
        <v>0</v>
      </c>
      <c r="I10" s="29" t="n">
        <v>0</v>
      </c>
      <c r="J10" s="29" t="n">
        <v>114531</v>
      </c>
      <c r="K10" s="29" t="n">
        <v>0</v>
      </c>
      <c r="L10" s="29" t="n">
        <v>0</v>
      </c>
      <c r="M10" s="29" t="n">
        <v>624364</v>
      </c>
    </row>
    <row r="11">
      <c r="A11" s="21" t="inlineStr">
        <is>
          <t>Unamortized premiums / rounding (computed)</t>
        </is>
      </c>
      <c r="B11" s="36">
        <f>CW_Net_Position!B26-B8-B9-B10</f>
        <v/>
      </c>
      <c r="C11" s="36">
        <f>CW_Net_Position!C26-C8-C9-C10</f>
        <v/>
      </c>
      <c r="D11" s="36">
        <f>CW_Net_Position!D26-D8-D9-D10</f>
        <v/>
      </c>
      <c r="E11" s="36">
        <f>CW_Net_Position!E26-E8-E9-E10</f>
        <v/>
      </c>
      <c r="F11" s="36">
        <f>CW_Net_Position!F26-F8-F9-F10</f>
        <v/>
      </c>
      <c r="G11" s="36">
        <f>CW_Net_Position!G26-G8-G9-G10</f>
        <v/>
      </c>
      <c r="H11" s="36">
        <f>CW_Net_Position!H26-H8-H9-H10</f>
        <v/>
      </c>
      <c r="I11" s="36">
        <f>CW_Net_Position!I26-I8-I9-I10</f>
        <v/>
      </c>
      <c r="J11" s="36">
        <f>CW_Net_Position!J26-J8-J9-J10</f>
        <v/>
      </c>
      <c r="K11" s="36">
        <f>CW_Net_Position!K26-K8-K9-K10</f>
        <v/>
      </c>
      <c r="L11" s="36">
        <f>CW_Net_Position!L26-L8-L9-L10</f>
        <v/>
      </c>
      <c r="M11" s="36">
        <f>CW_Net_Position!M26-M8-M9-M10</f>
        <v/>
      </c>
    </row>
    <row r="12">
      <c r="A12" s="12" t="inlineStr">
        <is>
          <t>Total long-term debt (per Statement of Net Position)</t>
        </is>
      </c>
      <c r="B12" s="24">
        <f>SUM(B8:B11)</f>
        <v/>
      </c>
      <c r="C12" s="24">
        <f>SUM(C8:C11)</f>
        <v/>
      </c>
      <c r="D12" s="24">
        <f>SUM(D8:D11)</f>
        <v/>
      </c>
      <c r="E12" s="24">
        <f>SUM(E8:E11)</f>
        <v/>
      </c>
      <c r="F12" s="24">
        <f>SUM(F8:F11)</f>
        <v/>
      </c>
      <c r="G12" s="24">
        <f>SUM(G8:G11)</f>
        <v/>
      </c>
      <c r="H12" s="24">
        <f>SUM(H8:H11)</f>
        <v/>
      </c>
      <c r="I12" s="24">
        <f>SUM(I8:I11)</f>
        <v/>
      </c>
      <c r="J12" s="24">
        <f>SUM(J8:J11)</f>
        <v/>
      </c>
      <c r="K12" s="24">
        <f>SUM(K8:K11)</f>
        <v/>
      </c>
      <c r="L12" s="24">
        <f>SUM(L8:L11)</f>
        <v/>
      </c>
      <c r="M12" s="24">
        <f>SUM(M8:M11)</f>
        <v/>
      </c>
    </row>
    <row r="13">
      <c r="A13" s="2" t="n"/>
      <c r="B13" s="2" t="n"/>
      <c r="C13" s="2" t="n"/>
      <c r="D13" s="2" t="n"/>
      <c r="E13" s="2" t="n"/>
      <c r="F13" s="2" t="n"/>
      <c r="G13" s="2" t="n"/>
      <c r="H13" s="2" t="n"/>
      <c r="I13" s="2" t="n"/>
      <c r="J13" s="2" t="n"/>
      <c r="K13" s="2" t="n"/>
      <c r="L13" s="2" t="n"/>
      <c r="M13" s="2" t="n"/>
    </row>
    <row r="14">
      <c r="A14" s="19" t="inlineStr">
        <is>
          <t>OTHER LONG-TERM LIABILITIES</t>
        </is>
      </c>
      <c r="B14" s="20" t="n"/>
      <c r="C14" s="20" t="n"/>
      <c r="D14" s="20" t="n"/>
      <c r="E14" s="20" t="n"/>
      <c r="F14" s="20" t="n"/>
      <c r="G14" s="20" t="n"/>
      <c r="H14" s="20" t="n"/>
      <c r="I14" s="20" t="n"/>
      <c r="J14" s="20" t="n"/>
      <c r="K14" s="20" t="n"/>
      <c r="L14" s="20" t="n"/>
      <c r="M14" s="20" t="n"/>
    </row>
    <row r="15">
      <c r="A15" s="21" t="inlineStr">
        <is>
          <t>Compensated absences (accrued vacation/leave)</t>
        </is>
      </c>
      <c r="B15" s="36">
        <f>CW_Net_Position!B24</f>
        <v/>
      </c>
      <c r="C15" s="36">
        <f>CW_Net_Position!C24</f>
        <v/>
      </c>
      <c r="D15" s="36">
        <f>CW_Net_Position!D24</f>
        <v/>
      </c>
      <c r="E15" s="36">
        <f>CW_Net_Position!E24</f>
        <v/>
      </c>
      <c r="F15" s="36">
        <f>CW_Net_Position!F24</f>
        <v/>
      </c>
      <c r="G15" s="36">
        <f>CW_Net_Position!G24</f>
        <v/>
      </c>
      <c r="H15" s="36">
        <f>CW_Net_Position!H24</f>
        <v/>
      </c>
      <c r="I15" s="36">
        <f>CW_Net_Position!I24</f>
        <v/>
      </c>
      <c r="J15" s="36">
        <f>CW_Net_Position!J24</f>
        <v/>
      </c>
      <c r="K15" s="36">
        <f>CW_Net_Position!K24</f>
        <v/>
      </c>
      <c r="L15" s="36">
        <f>CW_Net_Position!L24</f>
        <v/>
      </c>
      <c r="M15" s="36">
        <f>CW_Net_Position!M24</f>
        <v/>
      </c>
    </row>
    <row r="16">
      <c r="A16" s="21" t="inlineStr">
        <is>
          <t>Claims payable</t>
        </is>
      </c>
      <c r="B16" s="36">
        <f>CW_Net_Position!B25</f>
        <v/>
      </c>
      <c r="C16" s="36">
        <f>CW_Net_Position!C25</f>
        <v/>
      </c>
      <c r="D16" s="36">
        <f>CW_Net_Position!D25</f>
        <v/>
      </c>
      <c r="E16" s="36">
        <f>CW_Net_Position!E25</f>
        <v/>
      </c>
      <c r="F16" s="36">
        <f>CW_Net_Position!F25</f>
        <v/>
      </c>
      <c r="G16" s="36">
        <f>CW_Net_Position!G25</f>
        <v/>
      </c>
      <c r="H16" s="36">
        <f>CW_Net_Position!H25</f>
        <v/>
      </c>
      <c r="I16" s="36">
        <f>CW_Net_Position!I25</f>
        <v/>
      </c>
      <c r="J16" s="36">
        <f>CW_Net_Position!J25</f>
        <v/>
      </c>
      <c r="K16" s="36">
        <f>CW_Net_Position!K25</f>
        <v/>
      </c>
      <c r="L16" s="36">
        <f>CW_Net_Position!L25</f>
        <v/>
      </c>
      <c r="M16" s="36">
        <f>CW_Net_Position!M25</f>
        <v/>
      </c>
    </row>
    <row r="17">
      <c r="A17" s="21" t="inlineStr">
        <is>
          <t>Net OPEB liability (retiree health)</t>
        </is>
      </c>
      <c r="B17" s="36">
        <f>CW_Net_Position!B27</f>
        <v/>
      </c>
      <c r="C17" s="36">
        <f>CW_Net_Position!C27</f>
        <v/>
      </c>
      <c r="D17" s="36">
        <f>CW_Net_Position!D27</f>
        <v/>
      </c>
      <c r="E17" s="36">
        <f>CW_Net_Position!E27</f>
        <v/>
      </c>
      <c r="F17" s="36">
        <f>CW_Net_Position!F27</f>
        <v/>
      </c>
      <c r="G17" s="36">
        <f>CW_Net_Position!G27</f>
        <v/>
      </c>
      <c r="H17" s="36">
        <f>CW_Net_Position!H27</f>
        <v/>
      </c>
      <c r="I17" s="36">
        <f>CW_Net_Position!I27</f>
        <v/>
      </c>
      <c r="J17" s="36">
        <f>CW_Net_Position!J27</f>
        <v/>
      </c>
      <c r="K17" s="36">
        <f>CW_Net_Position!K27</f>
        <v/>
      </c>
      <c r="L17" s="36">
        <f>CW_Net_Position!L27</f>
        <v/>
      </c>
      <c r="M17" s="36">
        <f>CW_Net_Position!M27</f>
        <v/>
      </c>
    </row>
    <row r="18">
      <c r="A18" s="21" t="inlineStr">
        <is>
          <t>Net pension liability (CalPERS)</t>
        </is>
      </c>
      <c r="B18" s="36">
        <f>CW_Net_Position!B28</f>
        <v/>
      </c>
      <c r="C18" s="36">
        <f>CW_Net_Position!C28</f>
        <v/>
      </c>
      <c r="D18" s="36">
        <f>CW_Net_Position!D28</f>
        <v/>
      </c>
      <c r="E18" s="36">
        <f>CW_Net_Position!E28</f>
        <v/>
      </c>
      <c r="F18" s="36">
        <f>CW_Net_Position!F28</f>
        <v/>
      </c>
      <c r="G18" s="36">
        <f>CW_Net_Position!G28</f>
        <v/>
      </c>
      <c r="H18" s="36">
        <f>CW_Net_Position!H28</f>
        <v/>
      </c>
      <c r="I18" s="36">
        <f>CW_Net_Position!I28</f>
        <v/>
      </c>
      <c r="J18" s="36">
        <f>CW_Net_Position!J28</f>
        <v/>
      </c>
      <c r="K18" s="36">
        <f>CW_Net_Position!K28</f>
        <v/>
      </c>
      <c r="L18" s="36">
        <f>CW_Net_Position!L28</f>
        <v/>
      </c>
      <c r="M18" s="36">
        <f>CW_Net_Position!M28</f>
        <v/>
      </c>
    </row>
    <row r="19">
      <c r="A19" s="12" t="inlineStr">
        <is>
          <t>Total long-term obligations</t>
        </is>
      </c>
      <c r="B19" s="31">
        <f>B12+SUM(B15:B18)</f>
        <v/>
      </c>
      <c r="C19" s="31">
        <f>C12+SUM(C15:C18)</f>
        <v/>
      </c>
      <c r="D19" s="31">
        <f>D12+SUM(D15:D18)</f>
        <v/>
      </c>
      <c r="E19" s="31">
        <f>E12+SUM(E15:E18)</f>
        <v/>
      </c>
      <c r="F19" s="31">
        <f>F12+SUM(F15:F18)</f>
        <v/>
      </c>
      <c r="G19" s="31">
        <f>G12+SUM(G15:G18)</f>
        <v/>
      </c>
      <c r="H19" s="31">
        <f>H12+SUM(H15:H18)</f>
        <v/>
      </c>
      <c r="I19" s="31">
        <f>I12+SUM(I15:I18)</f>
        <v/>
      </c>
      <c r="J19" s="31">
        <f>J12+SUM(J15:J18)</f>
        <v/>
      </c>
      <c r="K19" s="31">
        <f>K12+SUM(K15:K18)</f>
        <v/>
      </c>
      <c r="L19" s="31">
        <f>L12+SUM(L15:L18)</f>
        <v/>
      </c>
      <c r="M19" s="31">
        <f>M12+SUM(M15:M18)</f>
        <v/>
      </c>
    </row>
    <row r="20">
      <c r="A20" s="2" t="n"/>
      <c r="B20" s="2" t="n"/>
      <c r="C20" s="2" t="n"/>
      <c r="D20" s="2" t="n"/>
      <c r="E20" s="2" t="n"/>
      <c r="F20" s="2" t="n"/>
      <c r="G20" s="2" t="n"/>
      <c r="H20" s="2" t="n"/>
      <c r="I20" s="2" t="n"/>
      <c r="J20" s="2" t="n"/>
      <c r="K20" s="2" t="n"/>
      <c r="L20" s="2" t="n"/>
      <c r="M20" s="2" t="n"/>
    </row>
    <row r="21">
      <c r="A21" s="19" t="inlineStr">
        <is>
          <t>PENSION DETAIL</t>
        </is>
      </c>
      <c r="B21" s="20" t="n"/>
      <c r="C21" s="20" t="n"/>
      <c r="D21" s="20" t="n"/>
      <c r="E21" s="20" t="n"/>
      <c r="F21" s="20" t="n"/>
      <c r="G21" s="20" t="n"/>
      <c r="H21" s="20" t="n"/>
      <c r="I21" s="20" t="n"/>
      <c r="J21" s="20" t="n"/>
      <c r="K21" s="20" t="n"/>
      <c r="L21" s="20" t="n"/>
      <c r="M21" s="20" t="n"/>
    </row>
    <row r="22">
      <c r="A22" s="21" t="inlineStr">
        <is>
          <t>Deferred outflows - pension/OPEB</t>
        </is>
      </c>
      <c r="B22" s="36">
        <f>CW_Net_Position!B17</f>
        <v/>
      </c>
      <c r="C22" s="36">
        <f>CW_Net_Position!C17</f>
        <v/>
      </c>
      <c r="D22" s="36">
        <f>CW_Net_Position!D17</f>
        <v/>
      </c>
      <c r="E22" s="36">
        <f>CW_Net_Position!E17</f>
        <v/>
      </c>
      <c r="F22" s="36">
        <f>CW_Net_Position!F17</f>
        <v/>
      </c>
      <c r="G22" s="36">
        <f>CW_Net_Position!G17</f>
        <v/>
      </c>
      <c r="H22" s="36">
        <f>CW_Net_Position!H17</f>
        <v/>
      </c>
      <c r="I22" s="36">
        <f>CW_Net_Position!I17</f>
        <v/>
      </c>
      <c r="J22" s="36">
        <f>CW_Net_Position!J17</f>
        <v/>
      </c>
      <c r="K22" s="36">
        <f>CW_Net_Position!K17</f>
        <v/>
      </c>
      <c r="L22" s="36">
        <f>CW_Net_Position!L17</f>
        <v/>
      </c>
      <c r="M22" s="36">
        <f>CW_Net_Position!M17</f>
        <v/>
      </c>
    </row>
    <row r="23">
      <c r="A23" s="21" t="inlineStr">
        <is>
          <t>Deferred inflows - pension/OPEB</t>
        </is>
      </c>
      <c r="B23" s="36">
        <f>-CW_Net_Position!B32</f>
        <v/>
      </c>
      <c r="C23" s="36">
        <f>-CW_Net_Position!C32</f>
        <v/>
      </c>
      <c r="D23" s="36">
        <f>-CW_Net_Position!D32</f>
        <v/>
      </c>
      <c r="E23" s="36">
        <f>-CW_Net_Position!E32</f>
        <v/>
      </c>
      <c r="F23" s="36">
        <f>-CW_Net_Position!F32</f>
        <v/>
      </c>
      <c r="G23" s="36">
        <f>-CW_Net_Position!G32</f>
        <v/>
      </c>
      <c r="H23" s="36">
        <f>-CW_Net_Position!H32</f>
        <v/>
      </c>
      <c r="I23" s="36">
        <f>-CW_Net_Position!I32</f>
        <v/>
      </c>
      <c r="J23" s="36">
        <f>-CW_Net_Position!J32</f>
        <v/>
      </c>
      <c r="K23" s="36">
        <f>-CW_Net_Position!K32</f>
        <v/>
      </c>
      <c r="L23" s="36">
        <f>-CW_Net_Position!L32</f>
        <v/>
      </c>
      <c r="M23" s="36">
        <f>-CW_Net_Position!M32</f>
        <v/>
      </c>
    </row>
    <row r="24">
      <c r="A24" s="12" t="inlineStr">
        <is>
          <t>Net pension + OPEB position on the balance sheet (liability net of deferrals)</t>
        </is>
      </c>
      <c r="B24" s="27">
        <f>B18+B17-B22-B23</f>
        <v/>
      </c>
      <c r="C24" s="27">
        <f>C18+C17-C22-C23</f>
        <v/>
      </c>
      <c r="D24" s="27">
        <f>D18+D17-D22-D23</f>
        <v/>
      </c>
      <c r="E24" s="27">
        <f>E18+E17-E22-E23</f>
        <v/>
      </c>
      <c r="F24" s="27">
        <f>F18+F17-F22-F23</f>
        <v/>
      </c>
      <c r="G24" s="27">
        <f>G18+G17-G22-G23</f>
        <v/>
      </c>
      <c r="H24" s="27">
        <f>H18+H17-H22-H23</f>
        <v/>
      </c>
      <c r="I24" s="27">
        <f>I18+I17-I22-I23</f>
        <v/>
      </c>
      <c r="J24" s="27">
        <f>J18+J17-J22-J23</f>
        <v/>
      </c>
      <c r="K24" s="27">
        <f>K18+K17-K22-K23</f>
        <v/>
      </c>
      <c r="L24" s="27">
        <f>L18+L17-L22-L23</f>
        <v/>
      </c>
      <c r="M24" s="27">
        <f>M18+M17-M22-M23</f>
        <v/>
      </c>
    </row>
    <row r="25">
      <c r="A25" s="2" t="n"/>
      <c r="B25" s="2" t="n"/>
      <c r="C25" s="2" t="n"/>
      <c r="D25" s="2" t="n"/>
      <c r="E25" s="2" t="n"/>
      <c r="F25" s="2" t="n"/>
      <c r="G25" s="2" t="n"/>
      <c r="H25" s="2" t="n"/>
      <c r="I25" s="2" t="n"/>
      <c r="J25" s="2" t="n"/>
      <c r="K25" s="2" t="n"/>
      <c r="L25" s="2" t="n"/>
      <c r="M25" s="2" t="n"/>
    </row>
    <row r="26">
      <c r="A26" s="19" t="inlineStr">
        <is>
          <t>SHORT-TERM BORROWING (memo - also in General Fund)</t>
        </is>
      </c>
      <c r="B26" s="20" t="n"/>
      <c r="C26" s="20" t="n"/>
      <c r="D26" s="20" t="n"/>
      <c r="E26" s="20" t="n"/>
      <c r="F26" s="20" t="n"/>
      <c r="G26" s="20" t="n"/>
      <c r="H26" s="20" t="n"/>
      <c r="I26" s="20" t="n"/>
      <c r="J26" s="20" t="n"/>
      <c r="K26" s="20" t="n"/>
      <c r="L26" s="20" t="n"/>
      <c r="M26" s="20" t="n"/>
    </row>
    <row r="27">
      <c r="A27" s="21" t="inlineStr">
        <is>
          <t>Tax and revenue anticipation note (TRAN) outstanding at June 30</t>
        </is>
      </c>
      <c r="B27" s="36">
        <f>CW_Net_Position!B23</f>
        <v/>
      </c>
      <c r="C27" s="36">
        <f>CW_Net_Position!C23</f>
        <v/>
      </c>
      <c r="D27" s="36">
        <f>CW_Net_Position!D23</f>
        <v/>
      </c>
      <c r="E27" s="36">
        <f>CW_Net_Position!E23</f>
        <v/>
      </c>
      <c r="F27" s="36">
        <f>CW_Net_Position!F23</f>
        <v/>
      </c>
      <c r="G27" s="36">
        <f>CW_Net_Position!G23</f>
        <v/>
      </c>
      <c r="H27" s="36">
        <f>CW_Net_Position!H23</f>
        <v/>
      </c>
      <c r="I27" s="36">
        <f>CW_Net_Position!I23</f>
        <v/>
      </c>
      <c r="J27" s="36">
        <f>CW_Net_Position!J23</f>
        <v/>
      </c>
      <c r="K27" s="36">
        <f>CW_Net_Position!K23</f>
        <v/>
      </c>
      <c r="L27" s="36">
        <f>CW_Net_Position!L23</f>
        <v/>
      </c>
      <c r="M27" s="36">
        <f>CW_Net_Position!M23</f>
        <v/>
      </c>
    </row>
    <row r="28">
      <c r="A28" s="2" t="n"/>
      <c r="B28" s="2" t="n"/>
      <c r="C28" s="2" t="n"/>
      <c r="D28" s="2" t="n"/>
      <c r="E28" s="2" t="n"/>
      <c r="F28" s="2" t="n"/>
      <c r="G28" s="2" t="n"/>
      <c r="H28" s="2" t="n"/>
      <c r="I28" s="2" t="n"/>
      <c r="J28" s="2" t="n"/>
      <c r="K28" s="2" t="n"/>
      <c r="L28" s="2" t="n"/>
      <c r="M28" s="2" t="n"/>
    </row>
    <row r="29">
      <c r="A29" s="19" t="inlineStr">
        <is>
          <t>RATIOS</t>
        </is>
      </c>
      <c r="B29" s="20" t="n"/>
      <c r="C29" s="20" t="n"/>
      <c r="D29" s="20" t="n"/>
      <c r="E29" s="20" t="n"/>
      <c r="F29" s="20" t="n"/>
      <c r="G29" s="20" t="n"/>
      <c r="H29" s="20" t="n"/>
      <c r="I29" s="20" t="n"/>
      <c r="J29" s="20" t="n"/>
      <c r="K29" s="20" t="n"/>
      <c r="L29" s="20" t="n"/>
      <c r="M29" s="20" t="n"/>
    </row>
    <row r="30">
      <c r="A30" s="13" t="inlineStr">
        <is>
          <t>Pension liability as multiple of General Fund revenues</t>
        </is>
      </c>
      <c r="B30" s="71">
        <f>IFERROR(B18/GF_Operating_Statement!B17,0)</f>
        <v/>
      </c>
      <c r="C30" s="71">
        <f>IFERROR(C18/GF_Operating_Statement!C17,0)</f>
        <v/>
      </c>
      <c r="D30" s="71">
        <f>IFERROR(D18/GF_Operating_Statement!D17,0)</f>
        <v/>
      </c>
      <c r="E30" s="71">
        <f>IFERROR(E18/GF_Operating_Statement!E17,0)</f>
        <v/>
      </c>
      <c r="F30" s="71">
        <f>IFERROR(F18/GF_Operating_Statement!F17,0)</f>
        <v/>
      </c>
      <c r="G30" s="71">
        <f>IFERROR(G18/GF_Operating_Statement!G17,0)</f>
        <v/>
      </c>
      <c r="H30" s="71">
        <f>IFERROR(H18/GF_Operating_Statement!H17,0)</f>
        <v/>
      </c>
      <c r="I30" s="71">
        <f>IFERROR(I18/GF_Operating_Statement!I17,0)</f>
        <v/>
      </c>
      <c r="J30" s="71">
        <f>IFERROR(J18/GF_Operating_Statement!J17,0)</f>
        <v/>
      </c>
      <c r="K30" s="71">
        <f>IFERROR(K18/GF_Operating_Statement!K17,0)</f>
        <v/>
      </c>
      <c r="L30" s="71">
        <f>IFERROR(L18/GF_Operating_Statement!L17,0)</f>
        <v/>
      </c>
      <c r="M30" s="71">
        <f>IFERROR(M18/GF_Operating_Statement!M17,0)</f>
        <v/>
      </c>
    </row>
    <row r="31">
      <c r="A31" s="13" t="inlineStr">
        <is>
          <t>Long-term debt as % of General Fund revenues</t>
        </is>
      </c>
      <c r="B31" s="33">
        <f>IFERROR(B12/GF_Operating_Statement!B17,0)</f>
        <v/>
      </c>
      <c r="C31" s="33">
        <f>IFERROR(C12/GF_Operating_Statement!C17,0)</f>
        <v/>
      </c>
      <c r="D31" s="33">
        <f>IFERROR(D12/GF_Operating_Statement!D17,0)</f>
        <v/>
      </c>
      <c r="E31" s="33">
        <f>IFERROR(E12/GF_Operating_Statement!E17,0)</f>
        <v/>
      </c>
      <c r="F31" s="33">
        <f>IFERROR(F12/GF_Operating_Statement!F17,0)</f>
        <v/>
      </c>
      <c r="G31" s="33">
        <f>IFERROR(G12/GF_Operating_Statement!G17,0)</f>
        <v/>
      </c>
      <c r="H31" s="33">
        <f>IFERROR(H12/GF_Operating_Statement!H17,0)</f>
        <v/>
      </c>
      <c r="I31" s="33">
        <f>IFERROR(I12/GF_Operating_Statement!I17,0)</f>
        <v/>
      </c>
      <c r="J31" s="33">
        <f>IFERROR(J12/GF_Operating_Statement!J17,0)</f>
        <v/>
      </c>
      <c r="K31" s="33">
        <f>IFERROR(K12/GF_Operating_Statement!K17,0)</f>
        <v/>
      </c>
      <c r="L31" s="33">
        <f>IFERROR(L12/GF_Operating_Statement!L17,0)</f>
        <v/>
      </c>
      <c r="M31" s="33">
        <f>IFERROR(M12/GF_Operating_Statement!M17,0)</f>
        <v/>
      </c>
    </row>
    <row r="32">
      <c r="A32" s="2" t="n"/>
      <c r="B32" s="2" t="n"/>
      <c r="C32" s="2" t="n"/>
      <c r="D32" s="2" t="n"/>
      <c r="E32" s="2" t="n"/>
      <c r="F32" s="2" t="n"/>
      <c r="G32" s="2" t="n"/>
      <c r="H32" s="2" t="n"/>
      <c r="I32" s="2" t="n"/>
      <c r="J32" s="2" t="n"/>
      <c r="K32" s="2" t="n"/>
      <c r="L32" s="2" t="n"/>
      <c r="M32" s="2" t="n"/>
    </row>
    <row r="33">
      <c r="A33" s="13" t="inlineStr">
        <is>
          <t>Check: total LT debt vs. CW_Net_Position (should be 0)</t>
        </is>
      </c>
      <c r="B33" s="35">
        <f>B12-CW_Net_Position!B26</f>
        <v/>
      </c>
      <c r="C33" s="35">
        <f>C12-CW_Net_Position!C26</f>
        <v/>
      </c>
      <c r="D33" s="35">
        <f>D12-CW_Net_Position!D26</f>
        <v/>
      </c>
      <c r="E33" s="35">
        <f>E12-CW_Net_Position!E26</f>
        <v/>
      </c>
      <c r="F33" s="35">
        <f>F12-CW_Net_Position!F26</f>
        <v/>
      </c>
      <c r="G33" s="35">
        <f>G12-CW_Net_Position!G26</f>
        <v/>
      </c>
      <c r="H33" s="35">
        <f>H12-CW_Net_Position!H26</f>
        <v/>
      </c>
      <c r="I33" s="35">
        <f>I12-CW_Net_Position!I26</f>
        <v/>
      </c>
      <c r="J33" s="35">
        <f>J12-CW_Net_Position!J26</f>
        <v/>
      </c>
      <c r="K33" s="35">
        <f>K12-CW_Net_Position!K26</f>
        <v/>
      </c>
      <c r="L33" s="35">
        <f>L12-CW_Net_Position!L26</f>
        <v/>
      </c>
      <c r="M33" s="35">
        <f>M12-CW_Net_Position!M26</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375623"/>
    <outlinePr summaryBelow="1" summaryRight="1"/>
    <pageSetUpPr/>
  </sheetPr>
  <dimension ref="A1:M10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CITYWIDE: PENSION AND OPEB SCHEDULES (GASB 68 / 75 RSI)</t>
        </is>
      </c>
      <c r="B1" s="2" t="n"/>
      <c r="C1" s="2" t="n"/>
      <c r="D1" s="2" t="n"/>
      <c r="E1" s="2" t="n"/>
      <c r="F1" s="2" t="n"/>
      <c r="G1" s="2" t="n"/>
      <c r="H1" s="2" t="n"/>
      <c r="I1" s="2" t="n"/>
      <c r="J1" s="2" t="n"/>
      <c r="K1" s="2" t="n"/>
      <c r="L1" s="2" t="n"/>
      <c r="M1" s="2" t="n"/>
    </row>
    <row r="2">
      <c r="A2" s="12" t="inlineStr">
        <is>
          <t>CalPERS cost-sharing plans (Miscellaneous and Safety), $</t>
        </is>
      </c>
      <c r="B2" s="2" t="n"/>
      <c r="C2" s="2" t="n"/>
      <c r="D2" s="2" t="n"/>
      <c r="E2" s="2" t="n"/>
      <c r="F2" s="2" t="n"/>
      <c r="G2" s="2" t="n"/>
      <c r="H2" s="2" t="n"/>
      <c r="I2" s="2" t="n"/>
      <c r="J2" s="2" t="n"/>
      <c r="K2" s="2" t="n"/>
      <c r="L2" s="2" t="n"/>
      <c r="M2" s="2" t="n"/>
    </row>
    <row r="3">
      <c r="A3" s="7" t="inlineStr">
        <is>
          <t>Fiscal year = City reporting year; the liability is measured one year earlier (e.g. FY2025 uses the June 30, 2024 measurement). Source: FY2025 ACFR RSI pp.103-104; funded ratios and FY2015 from FY2021 ACFR RSI p.109.</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Fiscal year ended 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SCHEDULE OF PROPORTIONATE SHARE OF THE NET PENSION LIABILITY</t>
        </is>
      </c>
      <c r="B7" s="20" t="n"/>
      <c r="C7" s="20" t="n"/>
      <c r="D7" s="20" t="n"/>
      <c r="E7" s="20" t="n"/>
      <c r="F7" s="20" t="n"/>
      <c r="G7" s="20" t="n"/>
      <c r="H7" s="20" t="n"/>
      <c r="I7" s="20" t="n"/>
      <c r="J7" s="20" t="n"/>
      <c r="K7" s="20" t="n"/>
      <c r="L7" s="20" t="n"/>
      <c r="M7" s="20" t="n"/>
    </row>
    <row r="8">
      <c r="A8" s="12" t="inlineStr">
        <is>
          <t>Miscellaneous plan</t>
        </is>
      </c>
      <c r="B8" s="2" t="n"/>
      <c r="C8" s="2" t="n"/>
      <c r="D8" s="2" t="n"/>
      <c r="E8" s="2" t="n"/>
      <c r="F8" s="2" t="n"/>
      <c r="G8" s="2" t="n"/>
      <c r="H8" s="2" t="n"/>
      <c r="I8" s="2" t="n"/>
      <c r="J8" s="2" t="n"/>
      <c r="K8" s="2" t="n"/>
      <c r="L8" s="2" t="n"/>
      <c r="M8" s="2" t="n"/>
    </row>
    <row r="9">
      <c r="A9" s="26" t="inlineStr">
        <is>
          <t>Proportion of the collective net pension liability</t>
        </is>
      </c>
      <c r="B9" s="72" t="inlineStr"/>
      <c r="C9" s="72" t="inlineStr"/>
      <c r="D9" s="72" t="n">
        <v>0.002136</v>
      </c>
      <c r="E9" s="72" t="n">
        <v>0.003426</v>
      </c>
      <c r="F9" s="72" t="n">
        <v>0.003385</v>
      </c>
      <c r="G9" s="72" t="n">
        <v>0.003338</v>
      </c>
      <c r="H9" s="72" t="n">
        <v>0.003324</v>
      </c>
      <c r="I9" s="72" t="n">
        <v>0.003346</v>
      </c>
      <c r="J9" s="72" t="n">
        <v>0.003333</v>
      </c>
      <c r="K9" s="72" t="n">
        <v>0.003253</v>
      </c>
      <c r="L9" s="72" t="n">
        <v>0.003196</v>
      </c>
      <c r="M9" s="72" t="n">
        <v>0.003137</v>
      </c>
    </row>
    <row r="10">
      <c r="A10" s="26" t="inlineStr">
        <is>
          <t>Proportionate share of the net pension liability</t>
        </is>
      </c>
      <c r="B10" s="29" t="inlineStr"/>
      <c r="C10" s="29" t="inlineStr"/>
      <c r="D10" s="29" t="n">
        <v>14658502</v>
      </c>
      <c r="E10" s="29" t="n">
        <v>17070890</v>
      </c>
      <c r="F10" s="29" t="n">
        <v>19118301</v>
      </c>
      <c r="G10" s="29" t="n">
        <v>18768312</v>
      </c>
      <c r="H10" s="29" t="n">
        <v>19855450</v>
      </c>
      <c r="I10" s="29" t="n">
        <v>20881385</v>
      </c>
      <c r="J10" s="29" t="n">
        <v>14569087</v>
      </c>
      <c r="K10" s="29" t="n">
        <v>23378038</v>
      </c>
      <c r="L10" s="29" t="n">
        <v>24459499</v>
      </c>
      <c r="M10" s="29" t="n">
        <v>24151381</v>
      </c>
    </row>
    <row r="11">
      <c r="A11" s="26" t="inlineStr">
        <is>
          <t>Covered payroll</t>
        </is>
      </c>
      <c r="B11" s="29" t="inlineStr"/>
      <c r="C11" s="29" t="inlineStr"/>
      <c r="D11" s="29" t="n">
        <v>5561436</v>
      </c>
      <c r="E11" s="29" t="n">
        <v>5610928</v>
      </c>
      <c r="F11" s="29" t="n">
        <v>6212072</v>
      </c>
      <c r="G11" s="29" t="n">
        <v>6651088</v>
      </c>
      <c r="H11" s="29" t="n">
        <v>6927987</v>
      </c>
      <c r="I11" s="29" t="n">
        <v>7523515</v>
      </c>
      <c r="J11" s="29" t="n">
        <v>6607688</v>
      </c>
      <c r="K11" s="29" t="n">
        <v>6505147</v>
      </c>
      <c r="L11" s="29" t="n">
        <v>7095314</v>
      </c>
      <c r="M11" s="29" t="n">
        <v>8034133</v>
      </c>
    </row>
    <row r="12">
      <c r="A12" s="26" t="inlineStr">
        <is>
          <t>NPL as % of covered payroll</t>
        </is>
      </c>
      <c r="B12" s="33" t="inlineStr"/>
      <c r="C12" s="33" t="inlineStr"/>
      <c r="D12" s="33">
        <f>IFERROR(D10/D11,0)</f>
        <v/>
      </c>
      <c r="E12" s="33">
        <f>IFERROR(E10/E11,0)</f>
        <v/>
      </c>
      <c r="F12" s="33">
        <f>IFERROR(F10/F11,0)</f>
        <v/>
      </c>
      <c r="G12" s="33">
        <f>IFERROR(G10/G11,0)</f>
        <v/>
      </c>
      <c r="H12" s="33">
        <f>IFERROR(H10/H11,0)</f>
        <v/>
      </c>
      <c r="I12" s="33">
        <f>IFERROR(I10/I11,0)</f>
        <v/>
      </c>
      <c r="J12" s="33">
        <f>IFERROR(J10/J11,0)</f>
        <v/>
      </c>
      <c r="K12" s="33">
        <f>IFERROR(K10/K11,0)</f>
        <v/>
      </c>
      <c r="L12" s="33">
        <f>IFERROR(L10/L11,0)</f>
        <v/>
      </c>
      <c r="M12" s="33">
        <f>IFERROR(M10/M11,0)</f>
        <v/>
      </c>
    </row>
    <row r="13">
      <c r="A13" s="12" t="inlineStr">
        <is>
          <t>Safety plan (police, fire)</t>
        </is>
      </c>
      <c r="B13" s="2" t="n"/>
      <c r="C13" s="2" t="n"/>
      <c r="D13" s="2" t="n"/>
      <c r="E13" s="2" t="n"/>
      <c r="F13" s="2" t="n"/>
      <c r="G13" s="2" t="n"/>
      <c r="H13" s="2" t="n"/>
      <c r="I13" s="2" t="n"/>
      <c r="J13" s="2" t="n"/>
      <c r="K13" s="2" t="n"/>
      <c r="L13" s="2" t="n"/>
      <c r="M13" s="2" t="n"/>
    </row>
    <row r="14">
      <c r="A14" s="26" t="inlineStr">
        <is>
          <t>Proportion of the collective net pension liability</t>
        </is>
      </c>
      <c r="B14" s="72" t="inlineStr"/>
      <c r="C14" s="72" t="inlineStr"/>
      <c r="D14" s="72" t="n">
        <v>0.004565</v>
      </c>
      <c r="E14" s="72" t="n">
        <v>0.006242</v>
      </c>
      <c r="F14" s="72" t="n">
        <v>0.006181</v>
      </c>
      <c r="G14" s="72" t="n">
        <v>0.006181</v>
      </c>
      <c r="H14" s="72" t="n">
        <v>0.006116</v>
      </c>
      <c r="I14" s="72" t="n">
        <v>0.006118</v>
      </c>
      <c r="J14" s="72" t="n">
        <v>0.006012</v>
      </c>
      <c r="K14" s="72" t="n">
        <v>0.006033</v>
      </c>
      <c r="L14" s="72" t="n">
        <v>0.005948</v>
      </c>
      <c r="M14" s="72" t="n">
        <v>0.005905</v>
      </c>
    </row>
    <row r="15">
      <c r="A15" s="26" t="inlineStr">
        <is>
          <t>Proportionate share of the net pension liability</t>
        </is>
      </c>
      <c r="B15" s="29" t="inlineStr"/>
      <c r="C15" s="29" t="inlineStr"/>
      <c r="D15" s="29" t="n">
        <v>31333605</v>
      </c>
      <c r="E15" s="29" t="n">
        <v>37772767</v>
      </c>
      <c r="F15" s="29" t="n">
        <v>42656830</v>
      </c>
      <c r="G15" s="29" t="n">
        <v>43088187</v>
      </c>
      <c r="H15" s="29" t="n">
        <v>45977250</v>
      </c>
      <c r="I15" s="29" t="n">
        <v>49493039</v>
      </c>
      <c r="J15" s="29" t="n">
        <v>34381303</v>
      </c>
      <c r="K15" s="29" t="n">
        <v>56148886</v>
      </c>
      <c r="L15" s="29" t="n">
        <v>59781530</v>
      </c>
      <c r="M15" s="29" t="n">
        <v>58981551</v>
      </c>
    </row>
    <row r="16">
      <c r="A16" s="26" t="inlineStr">
        <is>
          <t>Covered payroll</t>
        </is>
      </c>
      <c r="B16" s="29" t="inlineStr"/>
      <c r="C16" s="29" t="inlineStr"/>
      <c r="D16" s="29" t="n">
        <v>8802299</v>
      </c>
      <c r="E16" s="29" t="n">
        <v>9063604</v>
      </c>
      <c r="F16" s="29" t="n">
        <v>9597134</v>
      </c>
      <c r="G16" s="29" t="n">
        <v>10327301</v>
      </c>
      <c r="H16" s="29" t="n">
        <v>10308155</v>
      </c>
      <c r="I16" s="29" t="n">
        <v>10389710</v>
      </c>
      <c r="J16" s="29" t="n">
        <v>10283491</v>
      </c>
      <c r="K16" s="29" t="n">
        <v>9659674</v>
      </c>
      <c r="L16" s="29" t="n">
        <v>5930384</v>
      </c>
      <c r="M16" s="29" t="n">
        <v>7075249</v>
      </c>
    </row>
    <row r="17">
      <c r="A17" s="26" t="inlineStr">
        <is>
          <t>NPL as % of covered payroll</t>
        </is>
      </c>
      <c r="B17" s="33" t="inlineStr"/>
      <c r="C17" s="33" t="inlineStr"/>
      <c r="D17" s="33">
        <f>IFERROR(D15/D16,0)</f>
        <v/>
      </c>
      <c r="E17" s="33">
        <f>IFERROR(E15/E16,0)</f>
        <v/>
      </c>
      <c r="F17" s="33">
        <f>IFERROR(F15/F16,0)</f>
        <v/>
      </c>
      <c r="G17" s="33">
        <f>IFERROR(G15/G16,0)</f>
        <v/>
      </c>
      <c r="H17" s="33">
        <f>IFERROR(H15/H16,0)</f>
        <v/>
      </c>
      <c r="I17" s="33">
        <f>IFERROR(I15/I16,0)</f>
        <v/>
      </c>
      <c r="J17" s="33">
        <f>IFERROR(J15/J16,0)</f>
        <v/>
      </c>
      <c r="K17" s="33">
        <f>IFERROR(K15/K16,0)</f>
        <v/>
      </c>
      <c r="L17" s="33">
        <f>IFERROR(L15/L16,0)</f>
        <v/>
      </c>
      <c r="M17" s="33">
        <f>IFERROR(M15/M16,0)</f>
        <v/>
      </c>
    </row>
    <row r="18">
      <c r="A18" s="12" t="inlineStr">
        <is>
          <t>Total, both plans</t>
        </is>
      </c>
      <c r="B18" s="2" t="n"/>
      <c r="C18" s="2" t="n"/>
      <c r="D18" s="2" t="n"/>
      <c r="E18" s="2" t="n"/>
      <c r="F18" s="2" t="n"/>
      <c r="G18" s="2" t="n"/>
      <c r="H18" s="2" t="n"/>
      <c r="I18" s="2" t="n"/>
      <c r="J18" s="2" t="n"/>
      <c r="K18" s="2" t="n"/>
      <c r="L18" s="2" t="n"/>
      <c r="M18" s="2" t="n"/>
    </row>
    <row r="19">
      <c r="A19" s="73" t="inlineStr">
        <is>
          <t>Net pension liability</t>
        </is>
      </c>
      <c r="B19" s="27" t="inlineStr"/>
      <c r="C19" s="29" t="n">
        <v>39314773</v>
      </c>
      <c r="D19" s="27">
        <f>D10+D15</f>
        <v/>
      </c>
      <c r="E19" s="27">
        <f>E10+E15</f>
        <v/>
      </c>
      <c r="F19" s="27">
        <f>F10+F15</f>
        <v/>
      </c>
      <c r="G19" s="27">
        <f>G10+G15</f>
        <v/>
      </c>
      <c r="H19" s="27">
        <f>H10+H15</f>
        <v/>
      </c>
      <c r="I19" s="27">
        <f>I10+I15</f>
        <v/>
      </c>
      <c r="J19" s="27">
        <f>J10+J15</f>
        <v/>
      </c>
      <c r="K19" s="27">
        <f>K10+K15</f>
        <v/>
      </c>
      <c r="L19" s="27">
        <f>L10+L15</f>
        <v/>
      </c>
      <c r="M19" s="27">
        <f>M10+M15</f>
        <v/>
      </c>
    </row>
    <row r="20">
      <c r="A20" s="21" t="inlineStr">
        <is>
          <t>Covered payroll</t>
        </is>
      </c>
      <c r="B20" s="22" t="inlineStr"/>
      <c r="C20" s="29" t="n">
        <v>13945374</v>
      </c>
      <c r="D20" s="22">
        <f>D11+D16</f>
        <v/>
      </c>
      <c r="E20" s="22">
        <f>E11+E16</f>
        <v/>
      </c>
      <c r="F20" s="22">
        <f>F11+F16</f>
        <v/>
      </c>
      <c r="G20" s="22">
        <f>G11+G16</f>
        <v/>
      </c>
      <c r="H20" s="22">
        <f>H11+H16</f>
        <v/>
      </c>
      <c r="I20" s="22">
        <f>I11+I16</f>
        <v/>
      </c>
      <c r="J20" s="22">
        <f>J11+J16</f>
        <v/>
      </c>
      <c r="K20" s="22">
        <f>K11+K16</f>
        <v/>
      </c>
      <c r="L20" s="22">
        <f>L11+L16</f>
        <v/>
      </c>
      <c r="M20" s="22">
        <f>M11+M16</f>
        <v/>
      </c>
    </row>
    <row r="21">
      <c r="A21" s="21" t="inlineStr">
        <is>
          <t>NPL as % of covered payroll</t>
        </is>
      </c>
      <c r="B21" s="33" t="inlineStr"/>
      <c r="C21" s="33">
        <f>IFERROR(C19/C20,0)</f>
        <v/>
      </c>
      <c r="D21" s="33">
        <f>IFERROR(D19/D20,0)</f>
        <v/>
      </c>
      <c r="E21" s="33">
        <f>IFERROR(E19/E20,0)</f>
        <v/>
      </c>
      <c r="F21" s="33">
        <f>IFERROR(F19/F20,0)</f>
        <v/>
      </c>
      <c r="G21" s="33">
        <f>IFERROR(G19/G20,0)</f>
        <v/>
      </c>
      <c r="H21" s="33">
        <f>IFERROR(H19/H20,0)</f>
        <v/>
      </c>
      <c r="I21" s="33">
        <f>IFERROR(I19/I20,0)</f>
        <v/>
      </c>
      <c r="J21" s="33">
        <f>IFERROR(J19/J20,0)</f>
        <v/>
      </c>
      <c r="K21" s="33">
        <f>IFERROR(K19/K20,0)</f>
        <v/>
      </c>
      <c r="L21" s="33">
        <f>IFERROR(L19/L20,0)</f>
        <v/>
      </c>
      <c r="M21" s="33">
        <f>IFERROR(M19/M20,0)</f>
        <v/>
      </c>
    </row>
    <row r="22">
      <c r="A22" s="21" t="inlineStr">
        <is>
          <t>Plan fiduciary net position as % of total pension liability (funded ratio)</t>
        </is>
      </c>
      <c r="B22" s="74" t="inlineStr"/>
      <c r="C22" s="74" t="n">
        <v>0.7982</v>
      </c>
      <c r="D22" s="74" t="n">
        <v>0.784</v>
      </c>
      <c r="E22" s="74" t="n">
        <v>0.7406</v>
      </c>
      <c r="F22" s="74" t="n">
        <v>0.7331</v>
      </c>
      <c r="G22" s="74" t="n">
        <v>0.7526</v>
      </c>
      <c r="H22" s="74" t="n">
        <v>0.7526</v>
      </c>
      <c r="I22" s="74" t="n">
        <v>0.751</v>
      </c>
      <c r="J22" s="74" t="inlineStr"/>
      <c r="K22" s="74" t="inlineStr"/>
      <c r="L22" s="74" t="inlineStr"/>
      <c r="M22" s="74" t="inlineStr"/>
    </row>
    <row r="23">
      <c r="A23" s="21" t="inlineStr">
        <is>
          <t>CalPERS discount rate</t>
        </is>
      </c>
      <c r="B23" s="75" t="inlineStr"/>
      <c r="C23" s="75" t="n">
        <v>0.075</v>
      </c>
      <c r="D23" s="75" t="n">
        <v>0.0765</v>
      </c>
      <c r="E23" s="75" t="n">
        <v>0.0765</v>
      </c>
      <c r="F23" s="75" t="n">
        <v>0.07149999999999999</v>
      </c>
      <c r="G23" s="75" t="n">
        <v>0.07149999999999999</v>
      </c>
      <c r="H23" s="75" t="n">
        <v>0.07149999999999999</v>
      </c>
      <c r="I23" s="75" t="n">
        <v>0.07149999999999999</v>
      </c>
      <c r="J23" s="75" t="n">
        <v>0.07149999999999999</v>
      </c>
      <c r="K23" s="75" t="n">
        <v>0.06900000000000001</v>
      </c>
      <c r="L23" s="75" t="n">
        <v>0.06900000000000001</v>
      </c>
      <c r="M23" s="75" t="n">
        <v>0.06900000000000001</v>
      </c>
    </row>
    <row r="24">
      <c r="A24" s="2" t="n"/>
      <c r="B24" s="2" t="n"/>
      <c r="C24" s="2" t="n"/>
      <c r="D24" s="2" t="n"/>
      <c r="E24" s="2" t="n"/>
      <c r="F24" s="2" t="n"/>
      <c r="G24" s="2" t="n"/>
      <c r="H24" s="2" t="n"/>
      <c r="I24" s="2" t="n"/>
      <c r="J24" s="2" t="n"/>
      <c r="K24" s="2" t="n"/>
      <c r="L24" s="2" t="n"/>
      <c r="M24" s="2" t="n"/>
    </row>
    <row r="25">
      <c r="A25" s="19" t="inlineStr">
        <is>
          <t>SCHEDULE OF CONTRIBUTIONS</t>
        </is>
      </c>
      <c r="B25" s="20" t="n"/>
      <c r="C25" s="20" t="n"/>
      <c r="D25" s="20" t="n"/>
      <c r="E25" s="20" t="n"/>
      <c r="F25" s="20" t="n"/>
      <c r="G25" s="20" t="n"/>
      <c r="H25" s="20" t="n"/>
      <c r="I25" s="20" t="n"/>
      <c r="J25" s="20" t="n"/>
      <c r="K25" s="20" t="n"/>
      <c r="L25" s="20" t="n"/>
      <c r="M25" s="20" t="n"/>
    </row>
    <row r="26">
      <c r="A26" s="12" t="inlineStr">
        <is>
          <t>Miscellaneous plan</t>
        </is>
      </c>
      <c r="B26" s="2" t="n"/>
      <c r="C26" s="2" t="n"/>
      <c r="D26" s="2" t="n"/>
      <c r="E26" s="2" t="n"/>
      <c r="F26" s="2" t="n"/>
      <c r="G26" s="2" t="n"/>
      <c r="H26" s="2" t="n"/>
      <c r="I26" s="2" t="n"/>
      <c r="J26" s="2" t="n"/>
      <c r="K26" s="2" t="n"/>
      <c r="L26" s="2" t="n"/>
      <c r="M26" s="2" t="n"/>
    </row>
    <row r="27">
      <c r="A27" s="26" t="inlineStr">
        <is>
          <t>Actuarially determined (contractually required) contribution</t>
        </is>
      </c>
      <c r="B27" s="29" t="inlineStr"/>
      <c r="C27" s="29" t="inlineStr"/>
      <c r="D27" s="29" t="n">
        <v>1444945</v>
      </c>
      <c r="E27" s="29" t="n">
        <v>1615318</v>
      </c>
      <c r="F27" s="29" t="n">
        <v>1780664</v>
      </c>
      <c r="G27" s="29" t="n">
        <v>1973155</v>
      </c>
      <c r="H27" s="29" t="n">
        <v>2264141</v>
      </c>
      <c r="I27" s="29" t="n">
        <v>2343260</v>
      </c>
      <c r="J27" s="29" t="n">
        <v>2510701</v>
      </c>
      <c r="K27" s="29" t="n">
        <v>2734433</v>
      </c>
      <c r="L27" s="29" t="n">
        <v>2834556</v>
      </c>
      <c r="M27" s="29" t="n">
        <v>3116130</v>
      </c>
    </row>
    <row r="28">
      <c r="A28" s="26" t="inlineStr">
        <is>
          <t>Contributions made</t>
        </is>
      </c>
      <c r="B28" s="29" t="inlineStr"/>
      <c r="C28" s="29" t="inlineStr"/>
      <c r="D28" s="29" t="n">
        <v>1444945</v>
      </c>
      <c r="E28" s="29" t="n">
        <v>1615318</v>
      </c>
      <c r="F28" s="29" t="n">
        <v>1780664</v>
      </c>
      <c r="G28" s="29" t="n">
        <v>1973692</v>
      </c>
      <c r="H28" s="29" t="n">
        <v>2264141</v>
      </c>
      <c r="I28" s="29" t="n">
        <v>2343260</v>
      </c>
      <c r="J28" s="29" t="n">
        <v>2510701</v>
      </c>
      <c r="K28" s="29" t="n">
        <v>2734433</v>
      </c>
      <c r="L28" s="29" t="n">
        <v>2834556</v>
      </c>
      <c r="M28" s="29" t="n">
        <v>3116130</v>
      </c>
    </row>
    <row r="29">
      <c r="A29" s="26" t="inlineStr">
        <is>
          <t>Contribution deficiency (excess)</t>
        </is>
      </c>
      <c r="B29" s="22" t="inlineStr"/>
      <c r="C29" s="22" t="inlineStr"/>
      <c r="D29" s="22">
        <f>D27-D28</f>
        <v/>
      </c>
      <c r="E29" s="22">
        <f>E27-E28</f>
        <v/>
      </c>
      <c r="F29" s="22">
        <f>F27-F28</f>
        <v/>
      </c>
      <c r="G29" s="22">
        <f>G27-G28</f>
        <v/>
      </c>
      <c r="H29" s="22">
        <f>H27-H28</f>
        <v/>
      </c>
      <c r="I29" s="22">
        <f>I27-I28</f>
        <v/>
      </c>
      <c r="J29" s="22">
        <f>J27-J28</f>
        <v/>
      </c>
      <c r="K29" s="22">
        <f>K27-K28</f>
        <v/>
      </c>
      <c r="L29" s="22">
        <f>L27-L28</f>
        <v/>
      </c>
      <c r="M29" s="22">
        <f>M27-M28</f>
        <v/>
      </c>
    </row>
    <row r="30">
      <c r="A30" s="26" t="inlineStr">
        <is>
          <t>Covered payroll</t>
        </is>
      </c>
      <c r="B30" s="29" t="inlineStr"/>
      <c r="C30" s="29" t="inlineStr"/>
      <c r="D30" s="29" t="n">
        <v>5610928</v>
      </c>
      <c r="E30" s="29" t="n">
        <v>6212072</v>
      </c>
      <c r="F30" s="29" t="n">
        <v>6651088</v>
      </c>
      <c r="G30" s="29" t="n">
        <v>6927987</v>
      </c>
      <c r="H30" s="29" t="n">
        <v>7523515</v>
      </c>
      <c r="I30" s="29" t="n">
        <v>6607688</v>
      </c>
      <c r="J30" s="29" t="n">
        <v>6505147</v>
      </c>
      <c r="K30" s="29" t="n">
        <v>7095314</v>
      </c>
      <c r="L30" s="29" t="n">
        <v>8034133</v>
      </c>
      <c r="M30" s="29" t="n">
        <v>8735374</v>
      </c>
    </row>
    <row r="31">
      <c r="A31" s="26" t="inlineStr">
        <is>
          <t>Contributions as % of covered payroll</t>
        </is>
      </c>
      <c r="B31" s="33" t="inlineStr"/>
      <c r="C31" s="33" t="inlineStr"/>
      <c r="D31" s="33">
        <f>IFERROR(D28/D30,0)</f>
        <v/>
      </c>
      <c r="E31" s="33">
        <f>IFERROR(E28/E30,0)</f>
        <v/>
      </c>
      <c r="F31" s="33">
        <f>IFERROR(F28/F30,0)</f>
        <v/>
      </c>
      <c r="G31" s="33">
        <f>IFERROR(G28/G30,0)</f>
        <v/>
      </c>
      <c r="H31" s="33">
        <f>IFERROR(H28/H30,0)</f>
        <v/>
      </c>
      <c r="I31" s="33">
        <f>IFERROR(I28/I30,0)</f>
        <v/>
      </c>
      <c r="J31" s="33">
        <f>IFERROR(J28/J30,0)</f>
        <v/>
      </c>
      <c r="K31" s="33">
        <f>IFERROR(K28/K30,0)</f>
        <v/>
      </c>
      <c r="L31" s="33">
        <f>IFERROR(L28/L30,0)</f>
        <v/>
      </c>
      <c r="M31" s="33">
        <f>IFERROR(M28/M30,0)</f>
        <v/>
      </c>
    </row>
    <row r="32">
      <c r="A32" s="12" t="inlineStr">
        <is>
          <t>Safety plan (police, fire)</t>
        </is>
      </c>
      <c r="B32" s="2" t="n"/>
      <c r="C32" s="2" t="n"/>
      <c r="D32" s="2" t="n"/>
      <c r="E32" s="2" t="n"/>
      <c r="F32" s="2" t="n"/>
      <c r="G32" s="2" t="n"/>
      <c r="H32" s="2" t="n"/>
      <c r="I32" s="2" t="n"/>
      <c r="J32" s="2" t="n"/>
      <c r="K32" s="2" t="n"/>
      <c r="L32" s="2" t="n"/>
      <c r="M32" s="2" t="n"/>
    </row>
    <row r="33">
      <c r="A33" s="26" t="inlineStr">
        <is>
          <t>Actuarially determined (contractually required) contribution</t>
        </is>
      </c>
      <c r="B33" s="29" t="inlineStr"/>
      <c r="C33" s="29" t="inlineStr"/>
      <c r="D33" s="29" t="n">
        <v>3142334</v>
      </c>
      <c r="E33" s="29" t="n">
        <v>3497289</v>
      </c>
      <c r="F33" s="29" t="n">
        <v>3927298</v>
      </c>
      <c r="G33" s="29" t="n">
        <v>4378562</v>
      </c>
      <c r="H33" s="29" t="n">
        <v>4930336</v>
      </c>
      <c r="I33" s="29" t="n">
        <v>5370170</v>
      </c>
      <c r="J33" s="29" t="n">
        <v>5737722</v>
      </c>
      <c r="K33" s="29" t="n">
        <v>6124456</v>
      </c>
      <c r="L33" s="29" t="n">
        <v>6510917</v>
      </c>
      <c r="M33" s="29" t="n">
        <v>7148153</v>
      </c>
    </row>
    <row r="34">
      <c r="A34" s="26" t="inlineStr">
        <is>
          <t>Contributions made</t>
        </is>
      </c>
      <c r="B34" s="29" t="inlineStr"/>
      <c r="C34" s="29" t="inlineStr"/>
      <c r="D34" s="29" t="n">
        <v>3142334</v>
      </c>
      <c r="E34" s="29" t="n">
        <v>3497289</v>
      </c>
      <c r="F34" s="29" t="n">
        <v>3927298</v>
      </c>
      <c r="G34" s="29" t="n">
        <v>4379650</v>
      </c>
      <c r="H34" s="29" t="n">
        <v>4930336</v>
      </c>
      <c r="I34" s="29" t="n">
        <v>5370170</v>
      </c>
      <c r="J34" s="29" t="n">
        <v>5737722</v>
      </c>
      <c r="K34" s="29" t="n">
        <v>6124456</v>
      </c>
      <c r="L34" s="29" t="n">
        <v>6510917</v>
      </c>
      <c r="M34" s="29" t="n">
        <v>7148153</v>
      </c>
    </row>
    <row r="35">
      <c r="A35" s="26" t="inlineStr">
        <is>
          <t>Contribution deficiency (excess)</t>
        </is>
      </c>
      <c r="B35" s="22" t="inlineStr"/>
      <c r="C35" s="22" t="inlineStr"/>
      <c r="D35" s="22">
        <f>D33-D34</f>
        <v/>
      </c>
      <c r="E35" s="22">
        <f>E33-E34</f>
        <v/>
      </c>
      <c r="F35" s="22">
        <f>F33-F34</f>
        <v/>
      </c>
      <c r="G35" s="22">
        <f>G33-G34</f>
        <v/>
      </c>
      <c r="H35" s="22">
        <f>H33-H34</f>
        <v/>
      </c>
      <c r="I35" s="22">
        <f>I33-I34</f>
        <v/>
      </c>
      <c r="J35" s="22">
        <f>J33-J34</f>
        <v/>
      </c>
      <c r="K35" s="22">
        <f>K33-K34</f>
        <v/>
      </c>
      <c r="L35" s="22">
        <f>L33-L34</f>
        <v/>
      </c>
      <c r="M35" s="22">
        <f>M33-M34</f>
        <v/>
      </c>
    </row>
    <row r="36">
      <c r="A36" s="26" t="inlineStr">
        <is>
          <t>Covered payroll</t>
        </is>
      </c>
      <c r="B36" s="29" t="inlineStr"/>
      <c r="C36" s="29" t="inlineStr"/>
      <c r="D36" s="29" t="n">
        <v>9063604</v>
      </c>
      <c r="E36" s="29" t="n">
        <v>9597134</v>
      </c>
      <c r="F36" s="29" t="n">
        <v>10327301</v>
      </c>
      <c r="G36" s="29" t="n">
        <v>10308155</v>
      </c>
      <c r="H36" s="29" t="n">
        <v>10389710</v>
      </c>
      <c r="I36" s="29" t="n">
        <v>10283491</v>
      </c>
      <c r="J36" s="29" t="n">
        <v>9659674</v>
      </c>
      <c r="K36" s="29" t="n">
        <v>5930384</v>
      </c>
      <c r="L36" s="29" t="n">
        <v>7075249</v>
      </c>
      <c r="M36" s="29" t="n">
        <v>7607925</v>
      </c>
    </row>
    <row r="37">
      <c r="A37" s="26" t="inlineStr">
        <is>
          <t>Contributions as % of covered payroll</t>
        </is>
      </c>
      <c r="B37" s="33" t="inlineStr"/>
      <c r="C37" s="33" t="inlineStr"/>
      <c r="D37" s="33">
        <f>IFERROR(D34/D36,0)</f>
        <v/>
      </c>
      <c r="E37" s="33">
        <f>IFERROR(E34/E36,0)</f>
        <v/>
      </c>
      <c r="F37" s="33">
        <f>IFERROR(F34/F36,0)</f>
        <v/>
      </c>
      <c r="G37" s="33">
        <f>IFERROR(G34/G36,0)</f>
        <v/>
      </c>
      <c r="H37" s="33">
        <f>IFERROR(H34/H36,0)</f>
        <v/>
      </c>
      <c r="I37" s="33">
        <f>IFERROR(I34/I36,0)</f>
        <v/>
      </c>
      <c r="J37" s="33">
        <f>IFERROR(J34/J36,0)</f>
        <v/>
      </c>
      <c r="K37" s="33">
        <f>IFERROR(K34/K36,0)</f>
        <v/>
      </c>
      <c r="L37" s="33">
        <f>IFERROR(L34/L36,0)</f>
        <v/>
      </c>
      <c r="M37" s="33">
        <f>IFERROR(M34/M36,0)</f>
        <v/>
      </c>
    </row>
    <row r="38">
      <c r="A38" s="12" t="inlineStr">
        <is>
          <t>Total, both plans</t>
        </is>
      </c>
      <c r="B38" s="2" t="n"/>
      <c r="C38" s="2" t="n"/>
      <c r="D38" s="2" t="n"/>
      <c r="E38" s="2" t="n"/>
      <c r="F38" s="2" t="n"/>
      <c r="G38" s="2" t="n"/>
      <c r="H38" s="2" t="n"/>
      <c r="I38" s="2" t="n"/>
      <c r="J38" s="2" t="n"/>
      <c r="K38" s="2" t="n"/>
      <c r="L38" s="2" t="n"/>
      <c r="M38" s="2" t="n"/>
    </row>
    <row r="39">
      <c r="A39" s="73" t="inlineStr">
        <is>
          <t>Total pension contributions</t>
        </is>
      </c>
      <c r="B39" s="27" t="inlineStr"/>
      <c r="C39" s="29" t="n">
        <v>601837</v>
      </c>
      <c r="D39" s="27">
        <f>D28+D34</f>
        <v/>
      </c>
      <c r="E39" s="27">
        <f>E28+E34</f>
        <v/>
      </c>
      <c r="F39" s="27">
        <f>F28+F34</f>
        <v/>
      </c>
      <c r="G39" s="27">
        <f>G28+G34</f>
        <v/>
      </c>
      <c r="H39" s="27">
        <f>H28+H34</f>
        <v/>
      </c>
      <c r="I39" s="27">
        <f>I28+I34</f>
        <v/>
      </c>
      <c r="J39" s="27">
        <f>J28+J34</f>
        <v/>
      </c>
      <c r="K39" s="27">
        <f>K28+K34</f>
        <v/>
      </c>
      <c r="L39" s="27">
        <f>L28+L34</f>
        <v/>
      </c>
      <c r="M39" s="27">
        <f>M28+M34</f>
        <v/>
      </c>
    </row>
    <row r="40">
      <c r="A40" s="21" t="inlineStr">
        <is>
          <t>Pension contributions as % of General Fund expenditures</t>
        </is>
      </c>
      <c r="B40" s="33" t="inlineStr"/>
      <c r="C40" s="33" t="inlineStr"/>
      <c r="D40" s="33">
        <f>IFERROR(D39/GF_Operating_Statement!D34,0)</f>
        <v/>
      </c>
      <c r="E40" s="33">
        <f>IFERROR(E39/GF_Operating_Statement!E34,0)</f>
        <v/>
      </c>
      <c r="F40" s="33">
        <f>IFERROR(F39/GF_Operating_Statement!F34,0)</f>
        <v/>
      </c>
      <c r="G40" s="33">
        <f>IFERROR(G39/GF_Operating_Statement!G34,0)</f>
        <v/>
      </c>
      <c r="H40" s="33">
        <f>IFERROR(H39/GF_Operating_Statement!H34,0)</f>
        <v/>
      </c>
      <c r="I40" s="33">
        <f>IFERROR(I39/GF_Operating_Statement!I34,0)</f>
        <v/>
      </c>
      <c r="J40" s="33">
        <f>IFERROR(J39/GF_Operating_Statement!J34,0)</f>
        <v/>
      </c>
      <c r="K40" s="33">
        <f>IFERROR(K39/GF_Operating_Statement!K34,0)</f>
        <v/>
      </c>
      <c r="L40" s="33">
        <f>IFERROR(L39/GF_Operating_Statement!L34,0)</f>
        <v/>
      </c>
      <c r="M40" s="33">
        <f>IFERROR(M39/GF_Operating_Statement!M34,0)</f>
        <v/>
      </c>
    </row>
    <row r="41">
      <c r="A41" s="2" t="n"/>
      <c r="B41" s="2" t="n"/>
      <c r="C41" s="2" t="n"/>
      <c r="D41" s="2" t="n"/>
      <c r="E41" s="2" t="n"/>
      <c r="F41" s="2" t="n"/>
      <c r="G41" s="2" t="n"/>
      <c r="H41" s="2" t="n"/>
      <c r="I41" s="2" t="n"/>
      <c r="J41" s="2" t="n"/>
      <c r="K41" s="2" t="n"/>
      <c r="L41" s="2" t="n"/>
      <c r="M41" s="2" t="n"/>
    </row>
    <row r="42">
      <c r="A42" s="19" t="inlineStr">
        <is>
          <t>DISCOUNT-RATE SENSITIVITY OF NET PENSION LIABILITY (both plans)</t>
        </is>
      </c>
      <c r="B42" s="20" t="n"/>
      <c r="C42" s="20" t="n"/>
      <c r="D42" s="20" t="n"/>
      <c r="E42" s="20" t="n"/>
      <c r="F42" s="20" t="n"/>
      <c r="G42" s="20" t="n"/>
      <c r="H42" s="20" t="n"/>
      <c r="I42" s="20" t="n"/>
      <c r="J42" s="20" t="n"/>
      <c r="K42" s="20" t="n"/>
      <c r="L42" s="20" t="n"/>
      <c r="M42" s="20" t="n"/>
    </row>
    <row r="43">
      <c r="A43" s="21" t="inlineStr">
        <is>
          <t>NPL at discount rate - 1%</t>
        </is>
      </c>
      <c r="B43" s="29" t="inlineStr"/>
      <c r="C43" s="29" t="inlineStr"/>
      <c r="D43" s="29" t="inlineStr"/>
      <c r="E43" s="29" t="inlineStr"/>
      <c r="F43" s="29" t="inlineStr"/>
      <c r="G43" s="29" t="inlineStr"/>
      <c r="H43" s="29" t="inlineStr"/>
      <c r="I43" s="29" t="inlineStr"/>
      <c r="J43" s="29" t="inlineStr"/>
      <c r="K43" s="29" t="inlineStr"/>
      <c r="L43" s="29" t="n">
        <v>118325156</v>
      </c>
      <c r="M43" s="29" t="n">
        <v>118325156</v>
      </c>
    </row>
    <row r="44">
      <c r="A44" s="21" t="inlineStr">
        <is>
          <t>NPL at current discount rate</t>
        </is>
      </c>
      <c r="B44" s="29" t="inlineStr"/>
      <c r="C44" s="29" t="inlineStr"/>
      <c r="D44" s="29" t="inlineStr"/>
      <c r="E44" s="29" t="inlineStr"/>
      <c r="F44" s="29" t="inlineStr"/>
      <c r="G44" s="29" t="inlineStr"/>
      <c r="H44" s="29" t="inlineStr"/>
      <c r="I44" s="29" t="inlineStr"/>
      <c r="J44" s="29" t="inlineStr"/>
      <c r="K44" s="29" t="inlineStr"/>
      <c r="L44" s="29" t="n">
        <v>84241029</v>
      </c>
      <c r="M44" s="29" t="n">
        <v>83132932</v>
      </c>
    </row>
    <row r="45">
      <c r="A45" s="21" t="inlineStr">
        <is>
          <t>NPL at discount rate + 1%</t>
        </is>
      </c>
      <c r="B45" s="29" t="inlineStr"/>
      <c r="C45" s="29" t="inlineStr"/>
      <c r="D45" s="29" t="inlineStr"/>
      <c r="E45" s="29" t="inlineStr"/>
      <c r="F45" s="29" t="inlineStr"/>
      <c r="G45" s="29" t="inlineStr"/>
      <c r="H45" s="29" t="inlineStr"/>
      <c r="I45" s="29" t="inlineStr"/>
      <c r="J45" s="29" t="inlineStr"/>
      <c r="K45" s="29" t="inlineStr"/>
      <c r="L45" s="29" t="n">
        <v>56320729</v>
      </c>
      <c r="M45" s="29" t="n">
        <v>54132240</v>
      </c>
    </row>
    <row r="46">
      <c r="A46" s="2" t="n"/>
      <c r="B46" s="2" t="n"/>
      <c r="C46" s="2" t="n"/>
      <c r="D46" s="2" t="n"/>
      <c r="E46" s="2" t="n"/>
      <c r="F46" s="2" t="n"/>
      <c r="G46" s="2" t="n"/>
      <c r="H46" s="2" t="n"/>
      <c r="I46" s="2" t="n"/>
      <c r="J46" s="2" t="n"/>
      <c r="K46" s="2" t="n"/>
      <c r="L46" s="2" t="n"/>
      <c r="M46" s="2" t="n"/>
    </row>
    <row r="47">
      <c r="A47" s="19" t="inlineStr">
        <is>
          <t>OTHER POSTEMPLOYMENT BENEFITS (RETIREE HEALTH)</t>
        </is>
      </c>
      <c r="B47" s="20" t="n"/>
      <c r="C47" s="20" t="n"/>
      <c r="D47" s="20" t="n"/>
      <c r="E47" s="20" t="n"/>
      <c r="F47" s="20" t="n"/>
      <c r="G47" s="20" t="n"/>
      <c r="H47" s="20" t="n"/>
      <c r="I47" s="20" t="n"/>
      <c r="J47" s="20" t="n"/>
      <c r="K47" s="20" t="n"/>
      <c r="L47" s="20" t="n"/>
      <c r="M47" s="20" t="n"/>
    </row>
    <row r="48">
      <c r="A48" s="13" t="inlineStr">
        <is>
          <t>OPEB liability, governmental activities</t>
        </is>
      </c>
      <c r="B48" s="29" t="n">
        <v>1573570</v>
      </c>
      <c r="C48" s="29" t="n">
        <v>1867190</v>
      </c>
      <c r="D48" s="29" t="n">
        <v>2160810</v>
      </c>
      <c r="E48" s="29" t="n">
        <v>2454430</v>
      </c>
      <c r="F48" s="29" t="n">
        <v>2845887</v>
      </c>
      <c r="G48" s="29" t="n">
        <v>2994539</v>
      </c>
      <c r="H48" s="29" t="n">
        <v>3906161</v>
      </c>
      <c r="I48" s="29" t="n">
        <v>4887434</v>
      </c>
      <c r="J48" s="29" t="n">
        <v>0</v>
      </c>
      <c r="K48" s="29" t="n">
        <v>0</v>
      </c>
      <c r="L48" s="29" t="n">
        <v>0</v>
      </c>
      <c r="M48" s="29" t="n">
        <v>0</v>
      </c>
    </row>
    <row r="49">
      <c r="A49" s="13" t="inlineStr">
        <is>
          <t>Measurement basis</t>
        </is>
      </c>
      <c r="B49" s="22" t="inlineStr">
        <is>
          <t>Net OPEB obligation (GASB 45)</t>
        </is>
      </c>
      <c r="C49" s="22" t="inlineStr">
        <is>
          <t>Net OPEB obligation (GASB 45)</t>
        </is>
      </c>
      <c r="D49" s="22" t="inlineStr">
        <is>
          <t>Net OPEB obligation (GASB 45)</t>
        </is>
      </c>
      <c r="E49" s="22" t="inlineStr">
        <is>
          <t>Net OPEB obligation (GASB 45)</t>
        </is>
      </c>
      <c r="F49" s="22" t="inlineStr">
        <is>
          <t>Net/total OPEB liability (GASB 75)</t>
        </is>
      </c>
      <c r="G49" s="22" t="inlineStr">
        <is>
          <t>Net/total OPEB liability (GASB 75)</t>
        </is>
      </c>
      <c r="H49" s="22" t="inlineStr">
        <is>
          <t>Net/total OPEB liability (GASB 75)</t>
        </is>
      </c>
      <c r="I49" s="22" t="inlineStr">
        <is>
          <t>Net/total OPEB liability (GASB 75)</t>
        </is>
      </c>
      <c r="J49" s="22" t="inlineStr">
        <is>
          <t>Net/total OPEB liability (GASB 75)</t>
        </is>
      </c>
      <c r="K49" s="22" t="inlineStr">
        <is>
          <t>Net/total OPEB liability (GASB 75)</t>
        </is>
      </c>
      <c r="L49" s="22" t="inlineStr">
        <is>
          <t>Net/total OPEB liability (GASB 75)</t>
        </is>
      </c>
      <c r="M49" s="22" t="inlineStr">
        <is>
          <t>Net/total OPEB liability (GASB 75)</t>
        </is>
      </c>
    </row>
    <row r="50">
      <c r="A50" s="2" t="n"/>
      <c r="B50" s="2" t="n"/>
      <c r="C50" s="2" t="n"/>
      <c r="D50" s="2" t="n"/>
      <c r="E50" s="2" t="n"/>
      <c r="F50" s="2" t="n"/>
      <c r="G50" s="2" t="n"/>
      <c r="H50" s="2" t="n"/>
      <c r="I50" s="2" t="n"/>
      <c r="J50" s="2" t="n"/>
      <c r="K50" s="2" t="n"/>
      <c r="L50" s="2" t="n"/>
      <c r="M50" s="2" t="n"/>
    </row>
    <row r="51">
      <c r="A51" s="13" t="inlineStr">
        <is>
          <t>Check: plans + business-type share - CW_Net_Position NPL (should be 0)</t>
        </is>
      </c>
      <c r="B51" s="22" t="inlineStr"/>
      <c r="C51" s="35">
        <f>C19-CW_Net_Position!C28-0</f>
        <v/>
      </c>
      <c r="D51" s="35">
        <f>D19-CW_Net_Position!D28-0</f>
        <v/>
      </c>
      <c r="E51" s="35">
        <f>E19-CW_Net_Position!E28-0</f>
        <v/>
      </c>
      <c r="F51" s="35">
        <f>F19-CW_Net_Position!F28-0</f>
        <v/>
      </c>
      <c r="G51" s="35">
        <f>G19-CW_Net_Position!G28-0</f>
        <v/>
      </c>
      <c r="H51" s="35">
        <f>H19-CW_Net_Position!H28-0</f>
        <v/>
      </c>
      <c r="I51" s="35">
        <f>I19-CW_Net_Position!I28-0</f>
        <v/>
      </c>
      <c r="J51" s="35">
        <f>J19-CW_Net_Position!J28-0</f>
        <v/>
      </c>
      <c r="K51" s="35">
        <f>K19-CW_Net_Position!K28-0</f>
        <v/>
      </c>
      <c r="L51" s="35">
        <f>L19-CW_Net_Position!L28-3500990</f>
        <v/>
      </c>
      <c r="M51" s="35">
        <f>M19-CW_Net_Position!M28-3456898</f>
        <v/>
      </c>
    </row>
    <row r="52">
      <c r="A52" s="13" t="inlineStr">
        <is>
          <t>Check: OPEB vs. CW_Net_Position (should be 0)</t>
        </is>
      </c>
      <c r="B52" s="35">
        <f>B48-CW_Net_Position!B27</f>
        <v/>
      </c>
      <c r="C52" s="35">
        <f>C48-CW_Net_Position!C27</f>
        <v/>
      </c>
      <c r="D52" s="35">
        <f>D48-CW_Net_Position!D27</f>
        <v/>
      </c>
      <c r="E52" s="35">
        <f>E48-CW_Net_Position!E27</f>
        <v/>
      </c>
      <c r="F52" s="35">
        <f>F48-CW_Net_Position!F27</f>
        <v/>
      </c>
      <c r="G52" s="35">
        <f>G48-CW_Net_Position!G27</f>
        <v/>
      </c>
      <c r="H52" s="35">
        <f>H48-CW_Net_Position!H27</f>
        <v/>
      </c>
      <c r="I52" s="35">
        <f>I48-CW_Net_Position!I27</f>
        <v/>
      </c>
      <c r="J52" s="35">
        <f>J48-CW_Net_Position!J27</f>
        <v/>
      </c>
      <c r="K52" s="35">
        <f>K48-CW_Net_Position!K27</f>
        <v/>
      </c>
      <c r="L52" s="35">
        <f>L48-CW_Net_Position!L27</f>
        <v/>
      </c>
      <c r="M52" s="35">
        <f>M48-CW_Net_Position!M27</f>
        <v/>
      </c>
    </row>
    <row r="53">
      <c r="A53" s="2" t="n"/>
      <c r="B53" s="2" t="n"/>
      <c r="C53" s="2" t="n"/>
      <c r="D53" s="2" t="n"/>
      <c r="E53" s="2" t="n"/>
      <c r="F53" s="2" t="n"/>
      <c r="G53" s="2" t="n"/>
      <c r="H53" s="2" t="n"/>
      <c r="I53" s="2" t="n"/>
      <c r="J53" s="2" t="n"/>
      <c r="K53" s="2" t="n"/>
      <c r="L53" s="2" t="n"/>
      <c r="M53" s="2" t="n"/>
    </row>
    <row r="54">
      <c r="A54" s="12" t="inlineStr">
        <is>
          <t>Notes:</t>
        </is>
      </c>
      <c r="B54" s="2" t="n"/>
      <c r="C54" s="2" t="n"/>
      <c r="D54" s="2" t="n"/>
      <c r="E54" s="2" t="n"/>
      <c r="F54" s="2" t="n"/>
      <c r="G54" s="2" t="n"/>
      <c r="H54" s="2" t="n"/>
      <c r="I54" s="2" t="n"/>
      <c r="J54" s="2" t="n"/>
      <c r="K54" s="2" t="n"/>
      <c r="L54" s="2" t="n"/>
      <c r="M54" s="2" t="n"/>
    </row>
    <row r="55">
      <c r="A55" s="7" t="inlineStr">
        <is>
          <t>- Safety covered payroll falls from $9.7M to $5.9M in FY2023 in the proportionate-share schedule (and FY2023 contributions schedule), pushing NPL to 1,008% of payroll in FY2024. The ACFR does not explain the drop; it may be a reporting change rather than real staffing.</t>
        </is>
      </c>
      <c r="B55" s="2" t="n"/>
      <c r="C55" s="2" t="n"/>
      <c r="D55" s="2" t="n"/>
      <c r="E55" s="2" t="n"/>
      <c r="F55" s="2" t="n"/>
      <c r="G55" s="2" t="n"/>
      <c r="H55" s="2" t="n"/>
      <c r="I55" s="2" t="n"/>
      <c r="J55" s="2" t="n"/>
      <c r="K55" s="2" t="n"/>
      <c r="L55" s="2" t="n"/>
      <c r="M55" s="2" t="n"/>
    </row>
    <row r="56">
      <c r="A56" s="7" t="inlineStr">
        <is>
          <t>- FY2025 ACFR's 1%-decrease sensitivity ($118,325,156) is identical to FY2024's, while the current-rate NPL changed - likely carried forward without update. Treat the FY2025 sensitivity figure with caution.</t>
        </is>
      </c>
      <c r="B56" s="2" t="n"/>
      <c r="C56" s="2" t="n"/>
      <c r="D56" s="2" t="n"/>
      <c r="E56" s="2" t="n"/>
      <c r="F56" s="2" t="n"/>
      <c r="G56" s="2" t="n"/>
      <c r="H56" s="2" t="n"/>
      <c r="I56" s="2" t="n"/>
      <c r="J56" s="2" t="n"/>
      <c r="K56" s="2" t="n"/>
      <c r="L56" s="2" t="n"/>
      <c r="M56" s="2" t="n"/>
    </row>
    <row r="57">
      <c r="A57" s="7" t="inlineStr">
        <is>
          <t>- Plan funded ratios are published in the ACFRs only through FY2021; later ACFRs omit that row.</t>
        </is>
      </c>
      <c r="B57" s="2" t="n"/>
      <c r="C57" s="2" t="n"/>
      <c r="D57" s="2" t="n"/>
      <c r="E57" s="2" t="n"/>
      <c r="F57" s="2" t="n"/>
      <c r="G57" s="2" t="n"/>
      <c r="H57" s="2" t="n"/>
      <c r="I57" s="2" t="n"/>
      <c r="J57" s="2" t="n"/>
      <c r="K57" s="2" t="n"/>
      <c r="L57" s="2" t="n"/>
      <c r="M57" s="2" t="n"/>
    </row>
    <row r="58">
      <c r="A58" s="7" t="inlineStr">
        <is>
          <t>- FY2015 contribution ($601,837) as printed in the FY2021 ACFR combined schedule; it appears to cover only part of the year (first year of GASB 68).</t>
        </is>
      </c>
      <c r="B58" s="2" t="n"/>
      <c r="C58" s="2" t="n"/>
      <c r="D58" s="2" t="n"/>
      <c r="E58" s="2" t="n"/>
      <c r="F58" s="2" t="n"/>
      <c r="G58" s="2" t="n"/>
      <c r="H58" s="2" t="n"/>
      <c r="I58" s="2" t="n"/>
      <c r="J58" s="2" t="n"/>
      <c r="K58" s="2" t="n"/>
      <c r="L58" s="2" t="n"/>
      <c r="M58" s="2" t="n"/>
    </row>
    <row r="59">
      <c r="A59" s="7" t="inlineStr">
        <is>
          <t>- On January 2, 2021 the City changed its retiree health (OPEB) benefit terms, removing the implied subsidy; the total OPEB liability became zero and FY2022 beginning net position rose by $3,699,945 (FY2022 ACFR MD&amp;A). ACFRs from FY2023 contain no OPEB disclosures.</t>
        </is>
      </c>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19" t="inlineStr">
        <is>
          <t>CALPERS FUNDING VALUATIONS (funding-policy basis; column = valuation date June 30 of that year)</t>
        </is>
      </c>
      <c r="B62" s="20" t="n"/>
      <c r="C62" s="20" t="n"/>
      <c r="D62" s="20" t="n"/>
      <c r="E62" s="20" t="n"/>
      <c r="F62" s="20" t="n"/>
      <c r="G62" s="20" t="n"/>
      <c r="H62" s="20" t="n"/>
      <c r="I62" s="20" t="n"/>
      <c r="J62" s="20" t="n"/>
      <c r="K62" s="20" t="n"/>
      <c r="L62" s="20" t="n"/>
      <c r="M62" s="20" t="n"/>
    </row>
    <row r="63">
      <c r="A63" s="12" t="inlineStr">
        <is>
          <t>Miscellaneous plans (rate plans 415, 26319)</t>
        </is>
      </c>
      <c r="B63" s="2" t="n"/>
      <c r="C63" s="2" t="n"/>
      <c r="D63" s="2" t="n"/>
      <c r="E63" s="2" t="n"/>
      <c r="F63" s="2" t="n"/>
      <c r="G63" s="2" t="n"/>
      <c r="H63" s="2" t="n"/>
      <c r="I63" s="2" t="n"/>
      <c r="J63" s="2" t="n"/>
      <c r="K63" s="2" t="n"/>
      <c r="L63" s="2" t="n"/>
      <c r="M63" s="2" t="n"/>
    </row>
    <row r="64">
      <c r="A64" s="26" t="inlineStr">
        <is>
          <t>Entry-age accrued liability</t>
        </is>
      </c>
      <c r="B64" s="29" t="inlineStr"/>
      <c r="C64" s="29" t="n">
        <v>47584675</v>
      </c>
      <c r="D64" s="29" t="n">
        <v>50006604</v>
      </c>
      <c r="E64" s="29" t="n">
        <v>53214914</v>
      </c>
      <c r="F64" s="29" t="n">
        <v>58039089</v>
      </c>
      <c r="G64" s="29" t="n">
        <v>61540435</v>
      </c>
      <c r="H64" s="29" t="n">
        <v>64792497</v>
      </c>
      <c r="I64" s="29" t="n">
        <v>67649162</v>
      </c>
      <c r="J64" s="29" t="n">
        <v>70387233</v>
      </c>
      <c r="K64" s="29" t="n">
        <v>73254350</v>
      </c>
      <c r="L64" s="29" t="n">
        <v>76712431</v>
      </c>
      <c r="M64" s="29" t="n">
        <v>80669881</v>
      </c>
    </row>
    <row r="65">
      <c r="A65" s="26" t="inlineStr">
        <is>
          <t>Market value of assets (share of pool)</t>
        </is>
      </c>
      <c r="B65" s="29" t="inlineStr"/>
      <c r="C65" s="29" t="n">
        <v>32430404</v>
      </c>
      <c r="D65" s="29" t="n">
        <v>31893982</v>
      </c>
      <c r="E65" s="29" t="n">
        <v>35143078</v>
      </c>
      <c r="F65" s="29" t="n">
        <v>37927912</v>
      </c>
      <c r="G65" s="29" t="n">
        <v>40759951</v>
      </c>
      <c r="H65" s="29" t="n">
        <v>42747736</v>
      </c>
      <c r="I65" s="29" t="n">
        <v>50718943</v>
      </c>
      <c r="J65" s="29" t="n">
        <v>45805151</v>
      </c>
      <c r="K65" s="29" t="n">
        <v>47462478</v>
      </c>
      <c r="L65" s="29" t="n">
        <v>51459328</v>
      </c>
      <c r="M65" s="29" t="n">
        <v>57756943</v>
      </c>
    </row>
    <row r="66">
      <c r="A66" s="26" t="inlineStr">
        <is>
          <t>Unfunded accrued liability (UAL)</t>
        </is>
      </c>
      <c r="B66" s="22" t="inlineStr"/>
      <c r="C66" s="22">
        <f>C64-C65</f>
        <v/>
      </c>
      <c r="D66" s="22">
        <f>D64-D65</f>
        <v/>
      </c>
      <c r="E66" s="22">
        <f>E64-E65</f>
        <v/>
      </c>
      <c r="F66" s="22">
        <f>F64-F65</f>
        <v/>
      </c>
      <c r="G66" s="22">
        <f>G64-G65</f>
        <v/>
      </c>
      <c r="H66" s="22">
        <f>H64-H65</f>
        <v/>
      </c>
      <c r="I66" s="22">
        <f>I64-I65</f>
        <v/>
      </c>
      <c r="J66" s="22">
        <f>J64-J65</f>
        <v/>
      </c>
      <c r="K66" s="22">
        <f>K64-K65</f>
        <v/>
      </c>
      <c r="L66" s="22">
        <f>L64-L65</f>
        <v/>
      </c>
      <c r="M66" s="22">
        <f>M64-M65</f>
        <v/>
      </c>
    </row>
    <row r="67">
      <c r="A67" s="26" t="inlineStr">
        <is>
          <t>Funded ratio</t>
        </is>
      </c>
      <c r="B67" s="33" t="inlineStr"/>
      <c r="C67" s="33">
        <f>IFERROR(C65/C64,0)</f>
        <v/>
      </c>
      <c r="D67" s="33">
        <f>IFERROR(D65/D64,0)</f>
        <v/>
      </c>
      <c r="E67" s="33">
        <f>IFERROR(E65/E64,0)</f>
        <v/>
      </c>
      <c r="F67" s="33">
        <f>IFERROR(F65/F64,0)</f>
        <v/>
      </c>
      <c r="G67" s="33">
        <f>IFERROR(G65/G64,0)</f>
        <v/>
      </c>
      <c r="H67" s="33">
        <f>IFERROR(H65/H64,0)</f>
        <v/>
      </c>
      <c r="I67" s="33">
        <f>IFERROR(I65/I64,0)</f>
        <v/>
      </c>
      <c r="J67" s="33">
        <f>IFERROR(J65/J64,0)</f>
        <v/>
      </c>
      <c r="K67" s="33">
        <f>IFERROR(K65/K64,0)</f>
        <v/>
      </c>
      <c r="L67" s="33">
        <f>IFERROR(L65/L64,0)</f>
        <v/>
      </c>
      <c r="M67" s="33">
        <f>IFERROR(M65/M64,0)</f>
        <v/>
      </c>
    </row>
    <row r="68">
      <c r="A68" s="26" t="inlineStr">
        <is>
          <t>Covered payroll</t>
        </is>
      </c>
      <c r="B68" s="29" t="inlineStr"/>
      <c r="C68" s="29" t="n">
        <v>5350668</v>
      </c>
      <c r="D68" s="29" t="n">
        <v>6073604</v>
      </c>
      <c r="E68" s="29" t="n">
        <v>6154788</v>
      </c>
      <c r="F68" s="29" t="n">
        <v>6465633</v>
      </c>
      <c r="G68" s="29" t="n">
        <v>7128108</v>
      </c>
      <c r="H68" s="29" t="n">
        <v>7333979</v>
      </c>
      <c r="I68" s="29" t="n">
        <v>6060345</v>
      </c>
      <c r="J68" s="29" t="n">
        <v>6421463</v>
      </c>
      <c r="K68" s="29" t="n">
        <v>6930328</v>
      </c>
      <c r="L68" s="29" t="n">
        <v>8335033</v>
      </c>
      <c r="M68" s="29" t="n">
        <v>8732884</v>
      </c>
    </row>
    <row r="69">
      <c r="A69" s="26" t="inlineStr">
        <is>
          <t>UAL as % of covered payroll</t>
        </is>
      </c>
      <c r="B69" s="33" t="inlineStr"/>
      <c r="C69" s="33">
        <f>IFERROR(C66/C68,0)</f>
        <v/>
      </c>
      <c r="D69" s="33">
        <f>IFERROR(D66/D68,0)</f>
        <v/>
      </c>
      <c r="E69" s="33">
        <f>IFERROR(E66/E68,0)</f>
        <v/>
      </c>
      <c r="F69" s="33">
        <f>IFERROR(F66/F68,0)</f>
        <v/>
      </c>
      <c r="G69" s="33">
        <f>IFERROR(G66/G68,0)</f>
        <v/>
      </c>
      <c r="H69" s="33">
        <f>IFERROR(H66/H68,0)</f>
        <v/>
      </c>
      <c r="I69" s="33">
        <f>IFERROR(I66/I68,0)</f>
        <v/>
      </c>
      <c r="J69" s="33">
        <f>IFERROR(J66/J68,0)</f>
        <v/>
      </c>
      <c r="K69" s="33">
        <f>IFERROR(K66/K68,0)</f>
        <v/>
      </c>
      <c r="L69" s="33">
        <f>IFERROR(L66/L68,0)</f>
        <v/>
      </c>
      <c r="M69" s="33">
        <f>IFERROR(M66/M68,0)</f>
        <v/>
      </c>
    </row>
    <row r="70">
      <c r="A70" s="12" t="inlineStr">
        <is>
          <t>Safety plans (416 classic; 25344 PEPRA fire; 25345 PEPRA police)</t>
        </is>
      </c>
      <c r="B70" s="2" t="n"/>
      <c r="C70" s="2" t="n"/>
      <c r="D70" s="2" t="n"/>
      <c r="E70" s="2" t="n"/>
      <c r="F70" s="2" t="n"/>
      <c r="G70" s="2" t="n"/>
      <c r="H70" s="2" t="n"/>
      <c r="I70" s="2" t="n"/>
      <c r="J70" s="2" t="n"/>
      <c r="K70" s="2" t="n"/>
      <c r="L70" s="2" t="n"/>
      <c r="M70" s="2" t="n"/>
    </row>
    <row r="71">
      <c r="A71" s="26" t="inlineStr">
        <is>
          <t>Entry-age accrued liability</t>
        </is>
      </c>
      <c r="B71" s="29" t="inlineStr"/>
      <c r="C71" s="29" t="n">
        <v>115281867</v>
      </c>
      <c r="D71" s="29" t="n">
        <v>121759451</v>
      </c>
      <c r="E71" s="29" t="n">
        <v>129593080</v>
      </c>
      <c r="F71" s="29" t="n">
        <v>140252866</v>
      </c>
      <c r="G71" s="29" t="n">
        <v>148440995</v>
      </c>
      <c r="H71" s="29" t="n">
        <v>154485736</v>
      </c>
      <c r="I71" s="29" t="n">
        <v>165284322</v>
      </c>
      <c r="J71" s="29" t="n">
        <v>172878254</v>
      </c>
      <c r="K71" s="29" t="n">
        <v>180245592</v>
      </c>
      <c r="L71" s="29" t="n">
        <v>187813555</v>
      </c>
      <c r="M71" s="29" t="n">
        <v>195989059</v>
      </c>
    </row>
    <row r="72">
      <c r="A72" s="26" t="inlineStr">
        <is>
          <t>Market value of assets (share of pool)</t>
        </is>
      </c>
      <c r="B72" s="29" t="inlineStr"/>
      <c r="C72" s="29" t="n">
        <v>81966243</v>
      </c>
      <c r="D72" s="29" t="n">
        <v>80859059</v>
      </c>
      <c r="E72" s="29" t="n">
        <v>87951732</v>
      </c>
      <c r="F72" s="29" t="n">
        <v>93269696</v>
      </c>
      <c r="G72" s="29" t="n">
        <v>99367418</v>
      </c>
      <c r="H72" s="29" t="n">
        <v>102027867</v>
      </c>
      <c r="I72" s="29" t="n">
        <v>124422322</v>
      </c>
      <c r="J72" s="29" t="n">
        <v>112503502</v>
      </c>
      <c r="K72" s="29" t="n">
        <v>116790571</v>
      </c>
      <c r="L72" s="29" t="n">
        <v>125542529</v>
      </c>
      <c r="M72" s="29" t="n">
        <v>138550994</v>
      </c>
    </row>
    <row r="73">
      <c r="A73" s="26" t="inlineStr">
        <is>
          <t>Unfunded accrued liability (UAL)</t>
        </is>
      </c>
      <c r="B73" s="22" t="inlineStr"/>
      <c r="C73" s="22">
        <f>C71-C72</f>
        <v/>
      </c>
      <c r="D73" s="22">
        <f>D71-D72</f>
        <v/>
      </c>
      <c r="E73" s="22">
        <f>E71-E72</f>
        <v/>
      </c>
      <c r="F73" s="22">
        <f>F71-F72</f>
        <v/>
      </c>
      <c r="G73" s="22">
        <f>G71-G72</f>
        <v/>
      </c>
      <c r="H73" s="22">
        <f>H71-H72</f>
        <v/>
      </c>
      <c r="I73" s="22">
        <f>I71-I72</f>
        <v/>
      </c>
      <c r="J73" s="22">
        <f>J71-J72</f>
        <v/>
      </c>
      <c r="K73" s="22">
        <f>K71-K72</f>
        <v/>
      </c>
      <c r="L73" s="22">
        <f>L71-L72</f>
        <v/>
      </c>
      <c r="M73" s="22">
        <f>M71-M72</f>
        <v/>
      </c>
    </row>
    <row r="74">
      <c r="A74" s="26" t="inlineStr">
        <is>
          <t>Funded ratio</t>
        </is>
      </c>
      <c r="B74" s="33" t="inlineStr"/>
      <c r="C74" s="33">
        <f>IFERROR(C72/C71,0)</f>
        <v/>
      </c>
      <c r="D74" s="33">
        <f>IFERROR(D72/D71,0)</f>
        <v/>
      </c>
      <c r="E74" s="33">
        <f>IFERROR(E72/E71,0)</f>
        <v/>
      </c>
      <c r="F74" s="33">
        <f>IFERROR(F72/F71,0)</f>
        <v/>
      </c>
      <c r="G74" s="33">
        <f>IFERROR(G72/G71,0)</f>
        <v/>
      </c>
      <c r="H74" s="33">
        <f>IFERROR(H72/H71,0)</f>
        <v/>
      </c>
      <c r="I74" s="33">
        <f>IFERROR(I72/I71,0)</f>
        <v/>
      </c>
      <c r="J74" s="33">
        <f>IFERROR(J72/J71,0)</f>
        <v/>
      </c>
      <c r="K74" s="33">
        <f>IFERROR(K72/K71,0)</f>
        <v/>
      </c>
      <c r="L74" s="33">
        <f>IFERROR(L72/L71,0)</f>
        <v/>
      </c>
      <c r="M74" s="33">
        <f>IFERROR(M72/M71,0)</f>
        <v/>
      </c>
    </row>
    <row r="75">
      <c r="A75" s="26" t="inlineStr">
        <is>
          <t>Covered payroll</t>
        </is>
      </c>
      <c r="B75" s="29" t="inlineStr"/>
      <c r="C75" s="29" t="n">
        <v>8490596</v>
      </c>
      <c r="D75" s="29" t="n">
        <v>8677176</v>
      </c>
      <c r="E75" s="29" t="n">
        <v>9326280</v>
      </c>
      <c r="F75" s="29" t="n">
        <v>9795926</v>
      </c>
      <c r="G75" s="29" t="n">
        <v>9917930</v>
      </c>
      <c r="H75" s="29" t="n">
        <v>10137708</v>
      </c>
      <c r="I75" s="29" t="n">
        <v>9849766</v>
      </c>
      <c r="J75" s="29" t="n">
        <v>9065361</v>
      </c>
      <c r="K75" s="29" t="n">
        <v>9898147</v>
      </c>
      <c r="L75" s="29" t="n">
        <v>10822310</v>
      </c>
      <c r="M75" s="29" t="n">
        <v>11514409</v>
      </c>
    </row>
    <row r="76">
      <c r="A76" s="26" t="inlineStr">
        <is>
          <t>UAL as % of covered payroll</t>
        </is>
      </c>
      <c r="B76" s="33" t="inlineStr"/>
      <c r="C76" s="33">
        <f>IFERROR(C73/C75,0)</f>
        <v/>
      </c>
      <c r="D76" s="33">
        <f>IFERROR(D73/D75,0)</f>
        <v/>
      </c>
      <c r="E76" s="33">
        <f>IFERROR(E73/E75,0)</f>
        <v/>
      </c>
      <c r="F76" s="33">
        <f>IFERROR(F73/F75,0)</f>
        <v/>
      </c>
      <c r="G76" s="33">
        <f>IFERROR(G73/G75,0)</f>
        <v/>
      </c>
      <c r="H76" s="33">
        <f>IFERROR(H73/H75,0)</f>
        <v/>
      </c>
      <c r="I76" s="33">
        <f>IFERROR(I73/I75,0)</f>
        <v/>
      </c>
      <c r="J76" s="33">
        <f>IFERROR(J73/J75,0)</f>
        <v/>
      </c>
      <c r="K76" s="33">
        <f>IFERROR(K73/K75,0)</f>
        <v/>
      </c>
      <c r="L76" s="33">
        <f>IFERROR(L73/L75,0)</f>
        <v/>
      </c>
      <c r="M76" s="33">
        <f>IFERROR(M73/M75,0)</f>
        <v/>
      </c>
    </row>
    <row r="77">
      <c r="A77" s="12" t="inlineStr">
        <is>
          <t>Both plans</t>
        </is>
      </c>
      <c r="B77" s="2" t="n"/>
      <c r="C77" s="2" t="n"/>
      <c r="D77" s="2" t="n"/>
      <c r="E77" s="2" t="n"/>
      <c r="F77" s="2" t="n"/>
      <c r="G77" s="2" t="n"/>
      <c r="H77" s="2" t="n"/>
      <c r="I77" s="2" t="n"/>
      <c r="J77" s="2" t="n"/>
      <c r="K77" s="2" t="n"/>
      <c r="L77" s="2" t="n"/>
      <c r="M77" s="2" t="n"/>
    </row>
    <row r="78">
      <c r="A78" s="73" t="inlineStr">
        <is>
          <t>Total UAL</t>
        </is>
      </c>
      <c r="B78" s="27" t="inlineStr"/>
      <c r="C78" s="27">
        <f>C66+C73</f>
        <v/>
      </c>
      <c r="D78" s="27">
        <f>D66+D73</f>
        <v/>
      </c>
      <c r="E78" s="27">
        <f>E66+E73</f>
        <v/>
      </c>
      <c r="F78" s="27">
        <f>F66+F73</f>
        <v/>
      </c>
      <c r="G78" s="27">
        <f>G66+G73</f>
        <v/>
      </c>
      <c r="H78" s="27">
        <f>H66+H73</f>
        <v/>
      </c>
      <c r="I78" s="27">
        <f>I66+I73</f>
        <v/>
      </c>
      <c r="J78" s="27">
        <f>J66+J73</f>
        <v/>
      </c>
      <c r="K78" s="27">
        <f>K66+K73</f>
        <v/>
      </c>
      <c r="L78" s="27">
        <f>L66+L73</f>
        <v/>
      </c>
      <c r="M78" s="27">
        <f>M66+M73</f>
        <v/>
      </c>
    </row>
    <row r="79">
      <c r="A79" s="21" t="inlineStr">
        <is>
          <t>Combined funded ratio</t>
        </is>
      </c>
      <c r="B79" s="33" t="inlineStr"/>
      <c r="C79" s="33">
        <f>IFERROR((C65+C72)/(C64+C71),0)</f>
        <v/>
      </c>
      <c r="D79" s="33">
        <f>IFERROR((D65+D72)/(D64+D71),0)</f>
        <v/>
      </c>
      <c r="E79" s="33">
        <f>IFERROR((E65+E72)/(E64+E71),0)</f>
        <v/>
      </c>
      <c r="F79" s="33">
        <f>IFERROR((F65+F72)/(F64+F71),0)</f>
        <v/>
      </c>
      <c r="G79" s="33">
        <f>IFERROR((G65+G72)/(G64+G71),0)</f>
        <v/>
      </c>
      <c r="H79" s="33">
        <f>IFERROR((H65+H72)/(H64+H71),0)</f>
        <v/>
      </c>
      <c r="I79" s="33">
        <f>IFERROR((I65+I72)/(I64+I71),0)</f>
        <v/>
      </c>
      <c r="J79" s="33">
        <f>IFERROR((J65+J72)/(J64+J71),0)</f>
        <v/>
      </c>
      <c r="K79" s="33">
        <f>IFERROR((K65+K72)/(K64+K71),0)</f>
        <v/>
      </c>
      <c r="L79" s="33">
        <f>IFERROR((L65+L72)/(L64+L71),0)</f>
        <v/>
      </c>
      <c r="M79" s="33">
        <f>IFERROR((M65+M72)/(M64+M71),0)</f>
        <v/>
      </c>
    </row>
    <row r="80">
      <c r="A80" s="21" t="inlineStr">
        <is>
          <t>GASB 68 NPL at the same measurement date (next year's ACFR)</t>
        </is>
      </c>
      <c r="B80" s="36" t="inlineStr"/>
      <c r="C80" s="36">
        <f>D19</f>
        <v/>
      </c>
      <c r="D80" s="36">
        <f>E19</f>
        <v/>
      </c>
      <c r="E80" s="36">
        <f>F19</f>
        <v/>
      </c>
      <c r="F80" s="36">
        <f>G19</f>
        <v/>
      </c>
      <c r="G80" s="36">
        <f>H19</f>
        <v/>
      </c>
      <c r="H80" s="36">
        <f>I19</f>
        <v/>
      </c>
      <c r="I80" s="36">
        <f>J19</f>
        <v/>
      </c>
      <c r="J80" s="36">
        <f>K19</f>
        <v/>
      </c>
      <c r="K80" s="36">
        <f>L19</f>
        <v/>
      </c>
      <c r="L80" s="36">
        <f>M19</f>
        <v/>
      </c>
      <c r="M80" s="36" t="inlineStr"/>
    </row>
    <row r="81">
      <c r="A81" s="2" t="n"/>
      <c r="B81" s="2" t="n"/>
      <c r="C81" s="2" t="n"/>
      <c r="D81" s="2" t="n"/>
      <c r="E81" s="2" t="n"/>
      <c r="F81" s="2" t="n"/>
      <c r="G81" s="2" t="n"/>
      <c r="H81" s="2" t="n"/>
      <c r="I81" s="2" t="n"/>
      <c r="J81" s="2" t="n"/>
      <c r="K81" s="2" t="n"/>
      <c r="L81" s="2" t="n"/>
      <c r="M81" s="2" t="n"/>
    </row>
    <row r="82">
      <c r="A82" s="12" t="inlineStr">
        <is>
          <t>Required and projected employer contributions (CalPERS)</t>
        </is>
      </c>
      <c r="B82" s="2" t="n"/>
      <c r="C82" s="2" t="n"/>
      <c r="D82" s="2" t="n"/>
      <c r="E82" s="2" t="n"/>
      <c r="F82" s="2" t="n"/>
      <c r="G82" s="2" t="n"/>
      <c r="H82" s="2" t="n"/>
      <c r="I82" s="2" t="n"/>
      <c r="J82" s="2" t="n"/>
      <c r="K82" s="2" t="n"/>
      <c r="L82" s="2" t="n"/>
      <c r="M82" s="2" t="n"/>
    </row>
    <row r="83" ht="30" customHeight="1">
      <c r="A83" s="76" t="inlineStr">
        <is>
          <t>Fiscal year</t>
        </is>
      </c>
      <c r="B83" s="76" t="inlineStr">
        <is>
          <t>Misc. classic normal cost</t>
        </is>
      </c>
      <c r="C83" s="76" t="inlineStr">
        <is>
          <t>Misc. PEPRA normal cost</t>
        </is>
      </c>
      <c r="D83" s="76" t="inlineStr">
        <is>
          <t>Misc. UAL payment</t>
        </is>
      </c>
      <c r="E83" s="76" t="inlineStr">
        <is>
          <t>Safety classic normal cost</t>
        </is>
      </c>
      <c r="F83" s="76" t="inlineStr">
        <is>
          <t>Safety PEPRA normal cost</t>
        </is>
      </c>
      <c r="G83" s="76" t="inlineStr">
        <is>
          <t>Safety UAL payment</t>
        </is>
      </c>
      <c r="H83" s="76" t="inlineStr">
        <is>
          <t>Total UAL payments</t>
        </is>
      </c>
      <c r="I83" s="76" t="inlineStr">
        <is>
          <t>Basis</t>
        </is>
      </c>
      <c r="J83" s="2" t="n"/>
      <c r="K83" s="2" t="n"/>
      <c r="L83" s="2" t="n"/>
      <c r="M83" s="2" t="n"/>
    </row>
    <row r="84">
      <c r="A84" s="22" t="inlineStr">
        <is>
          <t>2025-26</t>
        </is>
      </c>
      <c r="B84" s="75" t="n">
        <v>0.1609</v>
      </c>
      <c r="C84" s="75" t="n">
        <v>0.0796</v>
      </c>
      <c r="D84" s="29" t="n">
        <v>2454148</v>
      </c>
      <c r="E84" s="75" t="n">
        <v>0.2738</v>
      </c>
      <c r="F84" s="75" t="n">
        <v>0.1399</v>
      </c>
      <c r="G84" s="29" t="n">
        <v>5569430</v>
      </c>
      <c r="H84" s="22">
        <f>D84+G84</f>
        <v/>
      </c>
      <c r="I84" s="22" t="inlineStr">
        <is>
          <t>Required (6/30/2023 valuation, shown in 2024 report)</t>
        </is>
      </c>
      <c r="J84" s="2" t="n"/>
      <c r="K84" s="2" t="n"/>
      <c r="L84" s="2" t="n"/>
      <c r="M84" s="2" t="n"/>
    </row>
    <row r="85">
      <c r="A85" s="22" t="inlineStr">
        <is>
          <t>2026-27</t>
        </is>
      </c>
      <c r="B85" s="75" t="n">
        <v>0.1607</v>
      </c>
      <c r="C85" s="75" t="n">
        <v>0.0793</v>
      </c>
      <c r="D85" s="29" t="n">
        <v>2670097</v>
      </c>
      <c r="E85" s="75" t="n">
        <v>0.2742</v>
      </c>
      <c r="F85" s="75" t="n">
        <v>0.1391</v>
      </c>
      <c r="G85" s="29" t="n">
        <v>6061671</v>
      </c>
      <c r="H85" s="22">
        <f>D85+G85</f>
        <v/>
      </c>
      <c r="I85" s="22" t="inlineStr">
        <is>
          <t>Required (6/30/2024 valuation)</t>
        </is>
      </c>
      <c r="J85" s="2" t="n"/>
      <c r="K85" s="2" t="n"/>
      <c r="L85" s="2" t="n"/>
      <c r="M85" s="2" t="n"/>
    </row>
    <row r="86">
      <c r="A86" s="22" t="inlineStr">
        <is>
          <t>2027-28</t>
        </is>
      </c>
      <c r="B86" s="75" t="n">
        <v>0.1653</v>
      </c>
      <c r="C86" s="75" t="n">
        <v>0.0805</v>
      </c>
      <c r="D86" s="29" t="n">
        <v>2797654</v>
      </c>
      <c r="E86" s="75" t="n">
        <v>0.2842</v>
      </c>
      <c r="F86" s="75" t="n">
        <v>0.1437</v>
      </c>
      <c r="G86" s="29" t="n">
        <v>6407378</v>
      </c>
      <c r="H86" s="22">
        <f>D86+G86</f>
        <v/>
      </c>
      <c r="I86" s="22" t="inlineStr">
        <is>
          <t>Required (6/30/2025 valuation)</t>
        </is>
      </c>
      <c r="J86" s="2" t="n"/>
      <c r="K86" s="2" t="n"/>
      <c r="L86" s="2" t="n"/>
      <c r="M86" s="2" t="n"/>
    </row>
    <row r="87">
      <c r="A87" s="22" t="inlineStr">
        <is>
          <t>2028-29</t>
        </is>
      </c>
      <c r="B87" s="75" t="n">
        <v>0.165</v>
      </c>
      <c r="C87" s="75" t="n">
        <v>0.081</v>
      </c>
      <c r="D87" s="29" t="n">
        <v>2943000</v>
      </c>
      <c r="E87" s="75" t="n">
        <v>0.284</v>
      </c>
      <c r="F87" s="75" t="n">
        <v>0.144</v>
      </c>
      <c r="G87" s="29" t="n">
        <v>6733000</v>
      </c>
      <c r="H87" s="22">
        <f>D87+G87</f>
        <v/>
      </c>
      <c r="I87" s="22" t="inlineStr">
        <is>
          <t>Projected (6/30/2025 valuation)</t>
        </is>
      </c>
      <c r="J87" s="2" t="n"/>
      <c r="K87" s="2" t="n"/>
      <c r="L87" s="2" t="n"/>
      <c r="M87" s="2" t="n"/>
    </row>
    <row r="88">
      <c r="A88" s="22" t="inlineStr">
        <is>
          <t>2029-30</t>
        </is>
      </c>
      <c r="B88" s="75" t="n">
        <v>0.165</v>
      </c>
      <c r="C88" s="75" t="n">
        <v>0.081</v>
      </c>
      <c r="D88" s="29" t="n">
        <v>2914000</v>
      </c>
      <c r="E88" s="75" t="n">
        <v>0.284</v>
      </c>
      <c r="F88" s="75" t="n">
        <v>0.144</v>
      </c>
      <c r="G88" s="29" t="n">
        <v>6649000</v>
      </c>
      <c r="H88" s="22">
        <f>D88+G88</f>
        <v/>
      </c>
      <c r="I88" s="22" t="inlineStr">
        <is>
          <t>Projected (6/30/2025 valuation)</t>
        </is>
      </c>
      <c r="J88" s="2" t="n"/>
      <c r="K88" s="2" t="n"/>
      <c r="L88" s="2" t="n"/>
      <c r="M88" s="2" t="n"/>
    </row>
    <row r="89">
      <c r="A89" s="22" t="inlineStr">
        <is>
          <t>2030-31</t>
        </is>
      </c>
      <c r="B89" s="75" t="n">
        <v>0.165</v>
      </c>
      <c r="C89" s="75" t="n">
        <v>0.081</v>
      </c>
      <c r="D89" s="29" t="n">
        <v>2880000</v>
      </c>
      <c r="E89" s="75" t="n">
        <v>0.284</v>
      </c>
      <c r="F89" s="75" t="n">
        <v>0.144</v>
      </c>
      <c r="G89" s="29" t="n">
        <v>6550000</v>
      </c>
      <c r="H89" s="22">
        <f>D89+G89</f>
        <v/>
      </c>
      <c r="I89" s="22" t="inlineStr">
        <is>
          <t>Projected (6/30/2025 valuation)</t>
        </is>
      </c>
      <c r="J89" s="2" t="n"/>
      <c r="K89" s="2" t="n"/>
      <c r="L89" s="2" t="n"/>
      <c r="M89" s="2" t="n"/>
    </row>
    <row r="90">
      <c r="A90" s="22" t="inlineStr">
        <is>
          <t>2031-32</t>
        </is>
      </c>
      <c r="B90" s="75" t="n">
        <v>0.165</v>
      </c>
      <c r="C90" s="75" t="n">
        <v>0.081</v>
      </c>
      <c r="D90" s="29" t="n">
        <v>2338000</v>
      </c>
      <c r="E90" s="75" t="n">
        <v>0.284</v>
      </c>
      <c r="F90" s="75" t="n">
        <v>0.144</v>
      </c>
      <c r="G90" s="29" t="n">
        <v>6532000</v>
      </c>
      <c r="H90" s="22">
        <f>D90+G90</f>
        <v/>
      </c>
      <c r="I90" s="22" t="inlineStr">
        <is>
          <t>Projected (6/30/2025 valuation)</t>
        </is>
      </c>
      <c r="J90" s="2" t="n"/>
      <c r="K90" s="2" t="n"/>
      <c r="L90" s="2" t="n"/>
      <c r="M90" s="2" t="n"/>
    </row>
    <row r="91">
      <c r="A91" s="22" t="inlineStr">
        <is>
          <t>2032-33</t>
        </is>
      </c>
      <c r="B91" s="75" t="n">
        <v>0.165</v>
      </c>
      <c r="C91" s="75" t="n">
        <v>0.081</v>
      </c>
      <c r="D91" s="29" t="n">
        <v>2321000</v>
      </c>
      <c r="E91" s="75" t="n">
        <v>0.284</v>
      </c>
      <c r="F91" s="75" t="n">
        <v>0.144</v>
      </c>
      <c r="G91" s="29" t="n">
        <v>6503000</v>
      </c>
      <c r="H91" s="22">
        <f>D91+G91</f>
        <v/>
      </c>
      <c r="I91" s="22" t="inlineStr">
        <is>
          <t>Projected (6/30/2025 valuation)</t>
        </is>
      </c>
      <c r="J91" s="2" t="n"/>
      <c r="K91" s="2" t="n"/>
      <c r="L91" s="2" t="n"/>
      <c r="M91" s="2" t="n"/>
    </row>
    <row r="92">
      <c r="A92" s="2" t="n"/>
      <c r="B92" s="2" t="n"/>
      <c r="C92" s="2" t="n"/>
      <c r="D92" s="2" t="n"/>
      <c r="E92" s="2" t="n"/>
      <c r="F92" s="2" t="n"/>
      <c r="G92" s="2" t="n"/>
      <c r="H92" s="2" t="n"/>
      <c r="I92" s="2" t="n"/>
      <c r="J92" s="2" t="n"/>
      <c r="K92" s="2" t="n"/>
      <c r="L92" s="2" t="n"/>
      <c r="M92" s="2" t="n"/>
    </row>
    <row r="93">
      <c r="A93" s="12" t="inlineStr">
        <is>
          <t>Risk measures, June 30, 2025 valuation</t>
        </is>
      </c>
      <c r="B93" s="2" t="n"/>
      <c r="C93" s="2" t="n"/>
      <c r="D93" s="2" t="n"/>
      <c r="E93" s="2" t="n"/>
      <c r="F93" s="2" t="n"/>
      <c r="G93" s="2" t="n"/>
      <c r="H93" s="2" t="n"/>
      <c r="I93" s="2" t="n"/>
      <c r="J93" s="2" t="n"/>
      <c r="K93" s="2" t="n"/>
      <c r="L93" s="2" t="n"/>
      <c r="M93" s="2" t="n"/>
    </row>
    <row r="94">
      <c r="A94" s="76" t="inlineStr">
        <is>
          <t>Measure</t>
        </is>
      </c>
      <c r="B94" s="76" t="inlineStr">
        <is>
          <t>Misc. liability</t>
        </is>
      </c>
      <c r="C94" s="76" t="inlineStr">
        <is>
          <t>Misc. unfunded</t>
        </is>
      </c>
      <c r="D94" s="76" t="inlineStr">
        <is>
          <t>Misc. funded ratio</t>
        </is>
      </c>
      <c r="E94" s="76" t="inlineStr">
        <is>
          <t>Safety liability</t>
        </is>
      </c>
      <c r="F94" s="76" t="inlineStr">
        <is>
          <t>Safety unfunded</t>
        </is>
      </c>
      <c r="G94" s="76" t="inlineStr">
        <is>
          <t>Safety funded ratio</t>
        </is>
      </c>
      <c r="H94" s="2" t="n"/>
      <c r="I94" s="2" t="n"/>
      <c r="J94" s="2" t="n"/>
      <c r="K94" s="2" t="n"/>
      <c r="L94" s="2" t="n"/>
      <c r="M94" s="2" t="n"/>
    </row>
    <row r="95">
      <c r="A95" s="22" t="inlineStr">
        <is>
          <t>Discount rate 5.8% (1% lower)</t>
        </is>
      </c>
      <c r="B95" s="29" t="n">
        <v>91141564</v>
      </c>
      <c r="C95" s="29" t="n">
        <v>33384621</v>
      </c>
      <c r="D95" s="74" t="n">
        <v>0.634</v>
      </c>
      <c r="E95" s="29" t="n">
        <v>221795341</v>
      </c>
      <c r="F95" s="29" t="n">
        <v>83244347</v>
      </c>
      <c r="G95" s="74" t="n">
        <v>0.625</v>
      </c>
      <c r="H95" s="2" t="n"/>
      <c r="I95" s="2" t="n"/>
      <c r="J95" s="2" t="n"/>
      <c r="K95" s="2" t="n"/>
      <c r="L95" s="2" t="n"/>
      <c r="M95" s="2" t="n"/>
    </row>
    <row r="96">
      <c r="A96" s="22" t="inlineStr">
        <is>
          <t>Discount rate 6.8% (current)</t>
        </is>
      </c>
      <c r="B96" s="29" t="n">
        <v>80669881</v>
      </c>
      <c r="C96" s="29" t="n">
        <v>22912938</v>
      </c>
      <c r="D96" s="74" t="n">
        <v>0.716</v>
      </c>
      <c r="E96" s="29" t="n">
        <v>195989059</v>
      </c>
      <c r="F96" s="29" t="n">
        <v>57438065</v>
      </c>
      <c r="G96" s="74" t="n">
        <v>0.707</v>
      </c>
      <c r="H96" s="2" t="n"/>
      <c r="I96" s="2" t="n"/>
      <c r="J96" s="2" t="n"/>
      <c r="K96" s="2" t="n"/>
      <c r="L96" s="2" t="n"/>
      <c r="M96" s="2" t="n"/>
    </row>
    <row r="97">
      <c r="A97" s="22" t="inlineStr">
        <is>
          <t>Discount rate 7.8% (1% higher)</t>
        </is>
      </c>
      <c r="B97" s="29" t="n">
        <v>72032414</v>
      </c>
      <c r="C97" s="29" t="n">
        <v>14275471</v>
      </c>
      <c r="D97" s="74" t="n">
        <v>0.802</v>
      </c>
      <c r="E97" s="29" t="n">
        <v>174768985</v>
      </c>
      <c r="F97" s="29" t="n">
        <v>36217991</v>
      </c>
      <c r="G97" s="74" t="n">
        <v>0.793</v>
      </c>
      <c r="H97" s="2" t="n"/>
      <c r="I97" s="2" t="n"/>
      <c r="J97" s="2" t="n"/>
      <c r="K97" s="2" t="n"/>
      <c r="L97" s="2" t="n"/>
      <c r="M97" s="2" t="n"/>
    </row>
    <row r="98">
      <c r="A98" s="22" t="inlineStr">
        <is>
          <t>Termination basis, 3.79% discount</t>
        </is>
      </c>
      <c r="B98" s="29" t="n">
        <v>113977162</v>
      </c>
      <c r="C98" s="29" t="n">
        <v>56220219</v>
      </c>
      <c r="D98" s="74" t="n">
        <v>0.507</v>
      </c>
      <c r="E98" s="29" t="n">
        <v>292088491</v>
      </c>
      <c r="F98" s="29" t="n">
        <v>153537497</v>
      </c>
      <c r="G98" s="74" t="n">
        <v>0.474</v>
      </c>
      <c r="H98" s="2" t="n"/>
      <c r="I98" s="2" t="n"/>
      <c r="J98" s="2" t="n"/>
      <c r="K98" s="2" t="n"/>
      <c r="L98" s="2" t="n"/>
      <c r="M98" s="2" t="n"/>
    </row>
    <row r="99">
      <c r="A99" s="22" t="inlineStr">
        <is>
          <t>Termination basis, 5.79% discount</t>
        </is>
      </c>
      <c r="B99" s="29" t="n">
        <v>86972293</v>
      </c>
      <c r="C99" s="29" t="n">
        <v>29215350</v>
      </c>
      <c r="D99" s="74" t="n">
        <v>0.664</v>
      </c>
      <c r="E99" s="29" t="n">
        <v>221220312</v>
      </c>
      <c r="F99" s="29" t="n">
        <v>82669318</v>
      </c>
      <c r="G99" s="74" t="n">
        <v>0.626</v>
      </c>
      <c r="H99" s="2" t="n"/>
      <c r="I99" s="2" t="n"/>
      <c r="J99" s="2" t="n"/>
      <c r="K99" s="2" t="n"/>
      <c r="L99" s="2" t="n"/>
      <c r="M99" s="2" t="n"/>
    </row>
    <row r="100">
      <c r="A100" s="22" t="inlineStr">
        <is>
          <t>Low-default-risk obligation (LDROM), 5.58%</t>
        </is>
      </c>
      <c r="B100" s="29" t="n">
        <v>93740638</v>
      </c>
      <c r="C100" s="29" t="n">
        <v>35983695</v>
      </c>
      <c r="D100" s="74" t="inlineStr"/>
      <c r="E100" s="29" t="n">
        <v>228214165</v>
      </c>
      <c r="F100" s="29" t="n">
        <v>89663171</v>
      </c>
      <c r="G100" s="74" t="inlineStr"/>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7" t="inlineStr">
        <is>
          <t>- Funding-basis figures differ from the GASB 68 net pension liability in the ACFR: different asset measure timing, and the City's proportionate share of the pool under GASB vs. the plan's own accrued liability here. Both measure the same underlying obligation.</t>
        </is>
      </c>
      <c r="B102" s="2" t="n"/>
      <c r="C102" s="2" t="n"/>
      <c r="D102" s="2" t="n"/>
      <c r="E102" s="2" t="n"/>
      <c r="F102" s="2" t="n"/>
      <c r="G102" s="2" t="n"/>
      <c r="H102" s="2" t="n"/>
      <c r="I102" s="2" t="n"/>
      <c r="J102" s="2" t="n"/>
      <c r="K102" s="2" t="n"/>
      <c r="L102" s="2" t="n"/>
      <c r="M102" s="2" t="n"/>
    </row>
    <row r="103">
      <c r="A103" s="7" t="inlineStr">
        <is>
          <t>- A June 30 valuation sets contributions two years later (e.g. the 6/30/2025 valuation sets FY2027-28 rates).</t>
        </is>
      </c>
      <c r="B103" s="2" t="n"/>
      <c r="C103" s="2" t="n"/>
      <c r="D103" s="2" t="n"/>
      <c r="E103" s="2" t="n"/>
      <c r="F103" s="2" t="n"/>
      <c r="G103" s="2" t="n"/>
      <c r="H103" s="2" t="n"/>
      <c r="I103" s="2" t="n"/>
      <c r="J103" s="2" t="n"/>
      <c r="K103" s="2" t="n"/>
      <c r="L103" s="2" t="n"/>
      <c r="M103" s="2" t="n"/>
    </row>
    <row r="104">
      <c r="A104" s="7" t="inlineStr">
        <is>
          <t>- Projected UAL payments assume CalPERS earns 6.8% each year; actual returns above or below that change future payments.</t>
        </is>
      </c>
      <c r="B104" s="2" t="n"/>
      <c r="C104" s="2" t="n"/>
      <c r="D104" s="2" t="n"/>
      <c r="E104" s="2" t="n"/>
      <c r="F104" s="2" t="n"/>
      <c r="G104" s="2" t="n"/>
      <c r="H104" s="2" t="n"/>
      <c r="I104" s="2" t="n"/>
      <c r="J104" s="2" t="n"/>
      <c r="K104" s="2" t="n"/>
      <c r="L104" s="2" t="n"/>
      <c r="M104" s="2" t="n"/>
    </row>
    <row r="105">
      <c r="A105" s="7" t="inlineStr">
        <is>
          <t>- Termination liability = what CalPERS would need if the City left the system (lower discount rate, no future contributions).</t>
        </is>
      </c>
      <c r="B105" s="2" t="n"/>
      <c r="C105" s="2" t="n"/>
      <c r="D105" s="2" t="n"/>
      <c r="E105" s="2" t="n"/>
      <c r="F105" s="2" t="n"/>
      <c r="G105" s="2" t="n"/>
      <c r="H105" s="2" t="n"/>
      <c r="I105" s="2" t="n"/>
      <c r="J105" s="2" t="n"/>
      <c r="K105" s="2" t="n"/>
      <c r="L105" s="2" t="n"/>
      <c r="M105" s="2" t="n"/>
    </row>
    <row r="106">
      <c r="A106" s="7" t="inlineStr">
        <is>
          <t>- Sources: ../calpers/misc_2024.pdf, safety_fire_2024.pdf, misc_2025.pdf, safety_fire_2025.pdf (CalPERS annual valuation reports).</t>
        </is>
      </c>
      <c r="B106" s="2" t="n"/>
      <c r="C106" s="2" t="n"/>
      <c r="D106" s="2" t="n"/>
      <c r="E106" s="2" t="n"/>
      <c r="F106" s="2" t="n"/>
      <c r="G106" s="2" t="n"/>
      <c r="H106" s="2" t="n"/>
      <c r="I106" s="2" t="n"/>
      <c r="J106" s="2" t="n"/>
      <c r="K106" s="2" t="n"/>
      <c r="L106" s="2" t="n"/>
      <c r="M106" s="2" t="n"/>
    </row>
    <row r="107">
      <c r="A107" s="13" t="inlineStr">
        <is>
          <t>Check: misc funded ratio vs. CalPERS printed, rounded to 0.1% (should be 0)</t>
        </is>
      </c>
      <c r="B107" s="77" t="inlineStr"/>
      <c r="C107" s="78">
        <f>ROUND(C67,3)-0.682</f>
        <v/>
      </c>
      <c r="D107" s="78">
        <f>ROUND(D67,3)-0.638</f>
        <v/>
      </c>
      <c r="E107" s="78">
        <f>ROUND(E67,3)-0.66</f>
        <v/>
      </c>
      <c r="F107" s="78">
        <f>ROUND(F67,3)-0.653</f>
        <v/>
      </c>
      <c r="G107" s="78">
        <f>ROUND(G67,3)-0.662</f>
        <v/>
      </c>
      <c r="H107" s="78">
        <f>ROUND(H67,3)-0.66</f>
        <v/>
      </c>
      <c r="I107" s="78">
        <f>ROUND(I67,3)-0.75</f>
        <v/>
      </c>
      <c r="J107" s="78">
        <f>ROUND(J67,3)-0.651</f>
        <v/>
      </c>
      <c r="K107" s="78">
        <f>ROUND(K67,3)-0.648</f>
        <v/>
      </c>
      <c r="L107" s="78">
        <f>ROUND(L67,3)-0.671</f>
        <v/>
      </c>
      <c r="M107" s="78">
        <f>ROUND(M67,3)-0.716</f>
        <v/>
      </c>
    </row>
    <row r="108">
      <c r="A108" s="13" t="inlineStr">
        <is>
          <t>Check: safe funded ratio vs. CalPERS printed, rounded to 0.1% (should be 0)</t>
        </is>
      </c>
      <c r="B108" s="77" t="inlineStr"/>
      <c r="C108" s="78">
        <f>ROUND(C74,3)-0.711</f>
        <v/>
      </c>
      <c r="D108" s="78">
        <f>ROUND(D74,3)-0.664</f>
        <v/>
      </c>
      <c r="E108" s="78">
        <f>ROUND(E74,3)-0.679</f>
        <v/>
      </c>
      <c r="F108" s="78">
        <f>ROUND(F74,3)-0.665</f>
        <v/>
      </c>
      <c r="G108" s="78">
        <f>ROUND(G74,3)-0.669</f>
        <v/>
      </c>
      <c r="H108" s="78">
        <f>ROUND(H74,3)-0.66</f>
        <v/>
      </c>
      <c r="I108" s="78">
        <f>ROUND(I74,3)-0.753</f>
        <v/>
      </c>
      <c r="J108" s="78">
        <f>ROUND(J74,3)-0.651</f>
        <v/>
      </c>
      <c r="K108" s="78">
        <f>ROUND(K74,3)-0.648</f>
        <v/>
      </c>
      <c r="L108" s="78">
        <f>ROUND(L74,3)-0.668</f>
        <v/>
      </c>
      <c r="M108" s="78">
        <f>ROUND(M74,3)-0.707</f>
        <v/>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375623"/>
    <outlinePr summaryBelow="1" summaryRight="1"/>
    <pageSetUpPr/>
  </sheetPr>
  <dimension ref="A1:M5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7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City of El Cerrito - STATISTICAL SCHEDULES (GASB 44 format)</t>
        </is>
      </c>
      <c r="B1" s="2" t="n"/>
      <c r="C1" s="2" t="n"/>
      <c r="D1" s="2" t="n"/>
      <c r="E1" s="2" t="n"/>
      <c r="F1" s="2" t="n"/>
      <c r="G1" s="2" t="n"/>
      <c r="H1" s="2" t="n"/>
      <c r="I1" s="2" t="n"/>
      <c r="J1" s="2" t="n"/>
      <c r="K1" s="2" t="n"/>
      <c r="L1" s="2" t="n"/>
      <c r="M1" s="2" t="n"/>
    </row>
    <row r="2">
      <c r="A2" s="12" t="inlineStr">
        <is>
          <t>Financial trends, debt capacity and demographic schedules, last twelve fiscal years, $</t>
        </is>
      </c>
      <c r="B2" s="2" t="n"/>
      <c r="C2" s="2" t="n"/>
      <c r="D2" s="2" t="n"/>
      <c r="E2" s="2" t="n"/>
      <c r="F2" s="2" t="n"/>
      <c r="G2" s="2" t="n"/>
      <c r="H2" s="2" t="n"/>
      <c r="I2" s="2" t="n"/>
      <c r="J2" s="2" t="n"/>
      <c r="K2" s="2" t="n"/>
      <c r="L2" s="2" t="n"/>
      <c r="M2" s="2" t="n"/>
    </row>
    <row r="3">
      <c r="A3" s="7" t="inlineStr">
        <is>
          <t>Modeled on the ACFR Statistical Section (Tables 1, 3, 4, 10 and 13; template pages in ../templates/). GASB 44 calls for ten years; twelve are shown. Cross-checks against the City's own FY2025 statistical tables are at the bottom.</t>
        </is>
      </c>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66" t="inlineStr">
        <is>
          <t>Fiscal year ended June 30</t>
        </is>
      </c>
      <c r="B6" s="67" t="n">
        <v>2014</v>
      </c>
      <c r="C6" s="67" t="n">
        <v>2015</v>
      </c>
      <c r="D6" s="67" t="n">
        <v>2016</v>
      </c>
      <c r="E6" s="67" t="n">
        <v>2017</v>
      </c>
      <c r="F6" s="67" t="n">
        <v>2018</v>
      </c>
      <c r="G6" s="67" t="n">
        <v>2019</v>
      </c>
      <c r="H6" s="67" t="n">
        <v>2020</v>
      </c>
      <c r="I6" s="67" t="n">
        <v>2021</v>
      </c>
      <c r="J6" s="67" t="n">
        <v>2022</v>
      </c>
      <c r="K6" s="67" t="n">
        <v>2023</v>
      </c>
      <c r="L6" s="67" t="n">
        <v>2024</v>
      </c>
      <c r="M6" s="67" t="n">
        <v>2025</v>
      </c>
    </row>
    <row r="7">
      <c r="A7" s="19" t="inlineStr">
        <is>
          <t>SCHEDULE 1 - NET POSITION BY COMPONENT, GOVERNMENTAL ACTIVITIES (cf. ACFR Table 1)</t>
        </is>
      </c>
      <c r="B7" s="20" t="n"/>
      <c r="C7" s="20" t="n"/>
      <c r="D7" s="20" t="n"/>
      <c r="E7" s="20" t="n"/>
      <c r="F7" s="20" t="n"/>
      <c r="G7" s="20" t="n"/>
      <c r="H7" s="20" t="n"/>
      <c r="I7" s="20" t="n"/>
      <c r="J7" s="20" t="n"/>
      <c r="K7" s="20" t="n"/>
      <c r="L7" s="20" t="n"/>
      <c r="M7" s="20" t="n"/>
    </row>
    <row r="8">
      <c r="A8" s="21" t="inlineStr">
        <is>
          <t>Net investment in capital assets</t>
        </is>
      </c>
      <c r="B8" s="36">
        <f>CW_Net_Position!B38</f>
        <v/>
      </c>
      <c r="C8" s="36">
        <f>CW_Net_Position!C38</f>
        <v/>
      </c>
      <c r="D8" s="36">
        <f>CW_Net_Position!D38</f>
        <v/>
      </c>
      <c r="E8" s="36">
        <f>CW_Net_Position!E38</f>
        <v/>
      </c>
      <c r="F8" s="36">
        <f>CW_Net_Position!F38</f>
        <v/>
      </c>
      <c r="G8" s="36">
        <f>CW_Net_Position!G38</f>
        <v/>
      </c>
      <c r="H8" s="36">
        <f>CW_Net_Position!H38</f>
        <v/>
      </c>
      <c r="I8" s="36">
        <f>CW_Net_Position!I38</f>
        <v/>
      </c>
      <c r="J8" s="36">
        <f>CW_Net_Position!J38</f>
        <v/>
      </c>
      <c r="K8" s="36">
        <f>CW_Net_Position!K38</f>
        <v/>
      </c>
      <c r="L8" s="36">
        <f>CW_Net_Position!L38</f>
        <v/>
      </c>
      <c r="M8" s="36">
        <f>CW_Net_Position!M38</f>
        <v/>
      </c>
    </row>
    <row r="9">
      <c r="A9" s="21" t="inlineStr">
        <is>
          <t>Restricted</t>
        </is>
      </c>
      <c r="B9" s="36">
        <f>CW_Net_Position!B39</f>
        <v/>
      </c>
      <c r="C9" s="36">
        <f>CW_Net_Position!C39</f>
        <v/>
      </c>
      <c r="D9" s="36">
        <f>CW_Net_Position!D39</f>
        <v/>
      </c>
      <c r="E9" s="36">
        <f>CW_Net_Position!E39</f>
        <v/>
      </c>
      <c r="F9" s="36">
        <f>CW_Net_Position!F39</f>
        <v/>
      </c>
      <c r="G9" s="36">
        <f>CW_Net_Position!G39</f>
        <v/>
      </c>
      <c r="H9" s="36">
        <f>CW_Net_Position!H39</f>
        <v/>
      </c>
      <c r="I9" s="36">
        <f>CW_Net_Position!I39</f>
        <v/>
      </c>
      <c r="J9" s="36">
        <f>CW_Net_Position!J39</f>
        <v/>
      </c>
      <c r="K9" s="36">
        <f>CW_Net_Position!K39</f>
        <v/>
      </c>
      <c r="L9" s="36">
        <f>CW_Net_Position!L39</f>
        <v/>
      </c>
      <c r="M9" s="36">
        <f>CW_Net_Position!M39</f>
        <v/>
      </c>
    </row>
    <row r="10">
      <c r="A10" s="21" t="inlineStr">
        <is>
          <t>Unrestricted</t>
        </is>
      </c>
      <c r="B10" s="36">
        <f>CW_Net_Position!B40</f>
        <v/>
      </c>
      <c r="C10" s="36">
        <f>CW_Net_Position!C40</f>
        <v/>
      </c>
      <c r="D10" s="36">
        <f>CW_Net_Position!D40</f>
        <v/>
      </c>
      <c r="E10" s="36">
        <f>CW_Net_Position!E40</f>
        <v/>
      </c>
      <c r="F10" s="36">
        <f>CW_Net_Position!F40</f>
        <v/>
      </c>
      <c r="G10" s="36">
        <f>CW_Net_Position!G40</f>
        <v/>
      </c>
      <c r="H10" s="36">
        <f>CW_Net_Position!H40</f>
        <v/>
      </c>
      <c r="I10" s="36">
        <f>CW_Net_Position!I40</f>
        <v/>
      </c>
      <c r="J10" s="36">
        <f>CW_Net_Position!J40</f>
        <v/>
      </c>
      <c r="K10" s="36">
        <f>CW_Net_Position!K40</f>
        <v/>
      </c>
      <c r="L10" s="36">
        <f>CW_Net_Position!L40</f>
        <v/>
      </c>
      <c r="M10" s="36">
        <f>CW_Net_Position!M40</f>
        <v/>
      </c>
    </row>
    <row r="11">
      <c r="A11" s="12" t="inlineStr">
        <is>
          <t>Total net position</t>
        </is>
      </c>
      <c r="B11" s="79">
        <f>CW_Net_Position!B37</f>
        <v/>
      </c>
      <c r="C11" s="79">
        <f>CW_Net_Position!C37</f>
        <v/>
      </c>
      <c r="D11" s="79">
        <f>CW_Net_Position!D37</f>
        <v/>
      </c>
      <c r="E11" s="79">
        <f>CW_Net_Position!E37</f>
        <v/>
      </c>
      <c r="F11" s="79">
        <f>CW_Net_Position!F37</f>
        <v/>
      </c>
      <c r="G11" s="79">
        <f>CW_Net_Position!G37</f>
        <v/>
      </c>
      <c r="H11" s="79">
        <f>CW_Net_Position!H37</f>
        <v/>
      </c>
      <c r="I11" s="79">
        <f>CW_Net_Position!I37</f>
        <v/>
      </c>
      <c r="J11" s="79">
        <f>CW_Net_Position!J37</f>
        <v/>
      </c>
      <c r="K11" s="79">
        <f>CW_Net_Position!K37</f>
        <v/>
      </c>
      <c r="L11" s="79">
        <f>CW_Net_Position!L37</f>
        <v/>
      </c>
      <c r="M11" s="79">
        <f>CW_Net_Position!M37</f>
        <v/>
      </c>
    </row>
    <row r="12">
      <c r="A12" s="2" t="n"/>
      <c r="B12" s="2" t="n"/>
      <c r="C12" s="2" t="n"/>
      <c r="D12" s="2" t="n"/>
      <c r="E12" s="2" t="n"/>
      <c r="F12" s="2" t="n"/>
      <c r="G12" s="2" t="n"/>
      <c r="H12" s="2" t="n"/>
      <c r="I12" s="2" t="n"/>
      <c r="J12" s="2" t="n"/>
      <c r="K12" s="2" t="n"/>
      <c r="L12" s="2" t="n"/>
      <c r="M12" s="2" t="n"/>
    </row>
    <row r="13">
      <c r="A13" s="19" t="inlineStr">
        <is>
          <t>SCHEDULE 2 - FUND BALANCES OF THE GENERAL FUND, GASB 54 CLASSES (cf. ACFR Table 3)</t>
        </is>
      </c>
      <c r="B13" s="20" t="n"/>
      <c r="C13" s="20" t="n"/>
      <c r="D13" s="20" t="n"/>
      <c r="E13" s="20" t="n"/>
      <c r="F13" s="20" t="n"/>
      <c r="G13" s="20" t="n"/>
      <c r="H13" s="20" t="n"/>
      <c r="I13" s="20" t="n"/>
      <c r="J13" s="20" t="n"/>
      <c r="K13" s="20" t="n"/>
      <c r="L13" s="20" t="n"/>
      <c r="M13" s="20" t="n"/>
    </row>
    <row r="14">
      <c r="A14" s="21" t="inlineStr">
        <is>
          <t>Nonspendable</t>
        </is>
      </c>
      <c r="B14" s="36">
        <f>GF_Balance_Sheet!B34</f>
        <v/>
      </c>
      <c r="C14" s="36">
        <f>GF_Balance_Sheet!C34</f>
        <v/>
      </c>
      <c r="D14" s="36">
        <f>GF_Balance_Sheet!D34</f>
        <v/>
      </c>
      <c r="E14" s="36">
        <f>GF_Balance_Sheet!E34</f>
        <v/>
      </c>
      <c r="F14" s="36">
        <f>GF_Balance_Sheet!F34</f>
        <v/>
      </c>
      <c r="G14" s="36">
        <f>GF_Balance_Sheet!G34</f>
        <v/>
      </c>
      <c r="H14" s="36">
        <f>GF_Balance_Sheet!H34</f>
        <v/>
      </c>
      <c r="I14" s="36">
        <f>GF_Balance_Sheet!I34</f>
        <v/>
      </c>
      <c r="J14" s="36">
        <f>GF_Balance_Sheet!J34</f>
        <v/>
      </c>
      <c r="K14" s="36">
        <f>GF_Balance_Sheet!K34</f>
        <v/>
      </c>
      <c r="L14" s="36">
        <f>GF_Balance_Sheet!L34</f>
        <v/>
      </c>
      <c r="M14" s="36">
        <f>GF_Balance_Sheet!M34</f>
        <v/>
      </c>
    </row>
    <row r="15">
      <c r="A15" s="21" t="inlineStr">
        <is>
          <t>Restricted</t>
        </is>
      </c>
      <c r="B15" s="36">
        <f>GF_Balance_Sheet!B35</f>
        <v/>
      </c>
      <c r="C15" s="36">
        <f>GF_Balance_Sheet!C35</f>
        <v/>
      </c>
      <c r="D15" s="36">
        <f>GF_Balance_Sheet!D35</f>
        <v/>
      </c>
      <c r="E15" s="36">
        <f>GF_Balance_Sheet!E35</f>
        <v/>
      </c>
      <c r="F15" s="36">
        <f>GF_Balance_Sheet!F35</f>
        <v/>
      </c>
      <c r="G15" s="36">
        <f>GF_Balance_Sheet!G35</f>
        <v/>
      </c>
      <c r="H15" s="36">
        <f>GF_Balance_Sheet!H35</f>
        <v/>
      </c>
      <c r="I15" s="36">
        <f>GF_Balance_Sheet!I35</f>
        <v/>
      </c>
      <c r="J15" s="36">
        <f>GF_Balance_Sheet!J35</f>
        <v/>
      </c>
      <c r="K15" s="36">
        <f>GF_Balance_Sheet!K35</f>
        <v/>
      </c>
      <c r="L15" s="36">
        <f>GF_Balance_Sheet!L35</f>
        <v/>
      </c>
      <c r="M15" s="36">
        <f>GF_Balance_Sheet!M35</f>
        <v/>
      </c>
    </row>
    <row r="16">
      <c r="A16" s="21" t="inlineStr">
        <is>
          <t>Committed</t>
        </is>
      </c>
      <c r="B16" s="36">
        <f>GF_Balance_Sheet!B36</f>
        <v/>
      </c>
      <c r="C16" s="36">
        <f>GF_Balance_Sheet!C36</f>
        <v/>
      </c>
      <c r="D16" s="36">
        <f>GF_Balance_Sheet!D36</f>
        <v/>
      </c>
      <c r="E16" s="36">
        <f>GF_Balance_Sheet!E36</f>
        <v/>
      </c>
      <c r="F16" s="36">
        <f>GF_Balance_Sheet!F36</f>
        <v/>
      </c>
      <c r="G16" s="36">
        <f>GF_Balance_Sheet!G36</f>
        <v/>
      </c>
      <c r="H16" s="36">
        <f>GF_Balance_Sheet!H36</f>
        <v/>
      </c>
      <c r="I16" s="36">
        <f>GF_Balance_Sheet!I36</f>
        <v/>
      </c>
      <c r="J16" s="36">
        <f>GF_Balance_Sheet!J36</f>
        <v/>
      </c>
      <c r="K16" s="36">
        <f>GF_Balance_Sheet!K36</f>
        <v/>
      </c>
      <c r="L16" s="36">
        <f>GF_Balance_Sheet!L36</f>
        <v/>
      </c>
      <c r="M16" s="36">
        <f>GF_Balance_Sheet!M36</f>
        <v/>
      </c>
    </row>
    <row r="17">
      <c r="A17" s="21" t="inlineStr">
        <is>
          <t>Assigned</t>
        </is>
      </c>
      <c r="B17" s="36">
        <f>GF_Balance_Sheet!B37</f>
        <v/>
      </c>
      <c r="C17" s="36">
        <f>GF_Balance_Sheet!C37</f>
        <v/>
      </c>
      <c r="D17" s="36">
        <f>GF_Balance_Sheet!D37</f>
        <v/>
      </c>
      <c r="E17" s="36">
        <f>GF_Balance_Sheet!E37</f>
        <v/>
      </c>
      <c r="F17" s="36">
        <f>GF_Balance_Sheet!F37</f>
        <v/>
      </c>
      <c r="G17" s="36">
        <f>GF_Balance_Sheet!G37</f>
        <v/>
      </c>
      <c r="H17" s="36">
        <f>GF_Balance_Sheet!H37</f>
        <v/>
      </c>
      <c r="I17" s="36">
        <f>GF_Balance_Sheet!I37</f>
        <v/>
      </c>
      <c r="J17" s="36">
        <f>GF_Balance_Sheet!J37</f>
        <v/>
      </c>
      <c r="K17" s="36">
        <f>GF_Balance_Sheet!K37</f>
        <v/>
      </c>
      <c r="L17" s="36">
        <f>GF_Balance_Sheet!L37</f>
        <v/>
      </c>
      <c r="M17" s="36">
        <f>GF_Balance_Sheet!M37</f>
        <v/>
      </c>
    </row>
    <row r="18">
      <c r="A18" s="21" t="inlineStr">
        <is>
          <t>Unassigned (incl. Emergency Disaster Relief reserve)</t>
        </is>
      </c>
      <c r="B18" s="36">
        <f>GF_Balance_Sheet!B45</f>
        <v/>
      </c>
      <c r="C18" s="36">
        <f>GF_Balance_Sheet!C45</f>
        <v/>
      </c>
      <c r="D18" s="36">
        <f>GF_Balance_Sheet!D45</f>
        <v/>
      </c>
      <c r="E18" s="36">
        <f>GF_Balance_Sheet!E45</f>
        <v/>
      </c>
      <c r="F18" s="36">
        <f>GF_Balance_Sheet!F45</f>
        <v/>
      </c>
      <c r="G18" s="36">
        <f>GF_Balance_Sheet!G45</f>
        <v/>
      </c>
      <c r="H18" s="36">
        <f>GF_Balance_Sheet!H45</f>
        <v/>
      </c>
      <c r="I18" s="36">
        <f>GF_Balance_Sheet!I45</f>
        <v/>
      </c>
      <c r="J18" s="36">
        <f>GF_Balance_Sheet!J45</f>
        <v/>
      </c>
      <c r="K18" s="36">
        <f>GF_Balance_Sheet!K45</f>
        <v/>
      </c>
      <c r="L18" s="36">
        <f>GF_Balance_Sheet!L45</f>
        <v/>
      </c>
      <c r="M18" s="36">
        <f>GF_Balance_Sheet!M45</f>
        <v/>
      </c>
    </row>
    <row r="19">
      <c r="A19" s="12" t="inlineStr">
        <is>
          <t>Total General Fund</t>
        </is>
      </c>
      <c r="B19" s="79">
        <f>GF_Balance_Sheet!B40</f>
        <v/>
      </c>
      <c r="C19" s="79">
        <f>GF_Balance_Sheet!C40</f>
        <v/>
      </c>
      <c r="D19" s="79">
        <f>GF_Balance_Sheet!D40</f>
        <v/>
      </c>
      <c r="E19" s="79">
        <f>GF_Balance_Sheet!E40</f>
        <v/>
      </c>
      <c r="F19" s="79">
        <f>GF_Balance_Sheet!F40</f>
        <v/>
      </c>
      <c r="G19" s="79">
        <f>GF_Balance_Sheet!G40</f>
        <v/>
      </c>
      <c r="H19" s="79">
        <f>GF_Balance_Sheet!H40</f>
        <v/>
      </c>
      <c r="I19" s="79">
        <f>GF_Balance_Sheet!I40</f>
        <v/>
      </c>
      <c r="J19" s="79">
        <f>GF_Balance_Sheet!J40</f>
        <v/>
      </c>
      <c r="K19" s="79">
        <f>GF_Balance_Sheet!K40</f>
        <v/>
      </c>
      <c r="L19" s="79">
        <f>GF_Balance_Sheet!L40</f>
        <v/>
      </c>
      <c r="M19" s="79">
        <f>GF_Balance_Sheet!M40</f>
        <v/>
      </c>
    </row>
    <row r="20">
      <c r="A20" s="13" t="inlineStr">
        <is>
          <t>All other governmental funds (total)</t>
        </is>
      </c>
      <c r="B20" s="36">
        <f>GF_to_Citywide_Bridge!B9</f>
        <v/>
      </c>
      <c r="C20" s="36">
        <f>GF_to_Citywide_Bridge!C9</f>
        <v/>
      </c>
      <c r="D20" s="36">
        <f>GF_to_Citywide_Bridge!D9</f>
        <v/>
      </c>
      <c r="E20" s="36">
        <f>GF_to_Citywide_Bridge!E9</f>
        <v/>
      </c>
      <c r="F20" s="36">
        <f>GF_to_Citywide_Bridge!F9</f>
        <v/>
      </c>
      <c r="G20" s="36">
        <f>GF_to_Citywide_Bridge!G9</f>
        <v/>
      </c>
      <c r="H20" s="36">
        <f>GF_to_Citywide_Bridge!H9</f>
        <v/>
      </c>
      <c r="I20" s="36">
        <f>GF_to_Citywide_Bridge!I9</f>
        <v/>
      </c>
      <c r="J20" s="36">
        <f>GF_to_Citywide_Bridge!J9</f>
        <v/>
      </c>
      <c r="K20" s="36">
        <f>GF_to_Citywide_Bridge!K9</f>
        <v/>
      </c>
      <c r="L20" s="36">
        <f>GF_to_Citywide_Bridge!L9</f>
        <v/>
      </c>
      <c r="M20" s="36">
        <f>GF_to_Citywide_Bridge!M9</f>
        <v/>
      </c>
    </row>
    <row r="21">
      <c r="A21" s="12" t="inlineStr">
        <is>
          <t>Total governmental funds</t>
        </is>
      </c>
      <c r="B21" s="24">
        <f>B19+B20</f>
        <v/>
      </c>
      <c r="C21" s="24">
        <f>C19+C20</f>
        <v/>
      </c>
      <c r="D21" s="24">
        <f>D19+D20</f>
        <v/>
      </c>
      <c r="E21" s="24">
        <f>E19+E20</f>
        <v/>
      </c>
      <c r="F21" s="24">
        <f>F19+F20</f>
        <v/>
      </c>
      <c r="G21" s="24">
        <f>G19+G20</f>
        <v/>
      </c>
      <c r="H21" s="24">
        <f>H19+H20</f>
        <v/>
      </c>
      <c r="I21" s="24">
        <f>I19+I20</f>
        <v/>
      </c>
      <c r="J21" s="24">
        <f>J19+J20</f>
        <v/>
      </c>
      <c r="K21" s="24">
        <f>K19+K20</f>
        <v/>
      </c>
      <c r="L21" s="24">
        <f>L19+L20</f>
        <v/>
      </c>
      <c r="M21" s="24">
        <f>M19+M20</f>
        <v/>
      </c>
    </row>
    <row r="22">
      <c r="A22" s="2" t="n"/>
      <c r="B22" s="2" t="n"/>
      <c r="C22" s="2" t="n"/>
      <c r="D22" s="2" t="n"/>
      <c r="E22" s="2" t="n"/>
      <c r="F22" s="2" t="n"/>
      <c r="G22" s="2" t="n"/>
      <c r="H22" s="2" t="n"/>
      <c r="I22" s="2" t="n"/>
      <c r="J22" s="2" t="n"/>
      <c r="K22" s="2" t="n"/>
      <c r="L22" s="2" t="n"/>
      <c r="M22" s="2" t="n"/>
    </row>
    <row r="23">
      <c r="A23" s="19" t="inlineStr">
        <is>
          <t>SCHEDULE 3 - CHANGES IN FUND BALANCE OF THE GENERAL FUND (cf. ACFR Table 4, all governmental funds)</t>
        </is>
      </c>
      <c r="B23" s="20" t="n"/>
      <c r="C23" s="20" t="n"/>
      <c r="D23" s="20" t="n"/>
      <c r="E23" s="20" t="n"/>
      <c r="F23" s="20" t="n"/>
      <c r="G23" s="20" t="n"/>
      <c r="H23" s="20" t="n"/>
      <c r="I23" s="20" t="n"/>
      <c r="J23" s="20" t="n"/>
      <c r="K23" s="20" t="n"/>
      <c r="L23" s="20" t="n"/>
      <c r="M23" s="20" t="n"/>
    </row>
    <row r="24">
      <c r="A24" s="21" t="inlineStr">
        <is>
          <t>Total revenues</t>
        </is>
      </c>
      <c r="B24" s="36">
        <f>GF_Operating_Statement!B17</f>
        <v/>
      </c>
      <c r="C24" s="36">
        <f>GF_Operating_Statement!C17</f>
        <v/>
      </c>
      <c r="D24" s="36">
        <f>GF_Operating_Statement!D17</f>
        <v/>
      </c>
      <c r="E24" s="36">
        <f>GF_Operating_Statement!E17</f>
        <v/>
      </c>
      <c r="F24" s="36">
        <f>GF_Operating_Statement!F17</f>
        <v/>
      </c>
      <c r="G24" s="36">
        <f>GF_Operating_Statement!G17</f>
        <v/>
      </c>
      <c r="H24" s="36">
        <f>GF_Operating_Statement!H17</f>
        <v/>
      </c>
      <c r="I24" s="36">
        <f>GF_Operating_Statement!I17</f>
        <v/>
      </c>
      <c r="J24" s="36">
        <f>GF_Operating_Statement!J17</f>
        <v/>
      </c>
      <c r="K24" s="36">
        <f>GF_Operating_Statement!K17</f>
        <v/>
      </c>
      <c r="L24" s="36">
        <f>GF_Operating_Statement!L17</f>
        <v/>
      </c>
      <c r="M24" s="36">
        <f>GF_Operating_Statement!M17</f>
        <v/>
      </c>
    </row>
    <row r="25">
      <c r="A25" s="21" t="inlineStr">
        <is>
          <t>Total expenditures</t>
        </is>
      </c>
      <c r="B25" s="36">
        <f>GF_Operating_Statement!B34</f>
        <v/>
      </c>
      <c r="C25" s="36">
        <f>GF_Operating_Statement!C34</f>
        <v/>
      </c>
      <c r="D25" s="36">
        <f>GF_Operating_Statement!D34</f>
        <v/>
      </c>
      <c r="E25" s="36">
        <f>GF_Operating_Statement!E34</f>
        <v/>
      </c>
      <c r="F25" s="36">
        <f>GF_Operating_Statement!F34</f>
        <v/>
      </c>
      <c r="G25" s="36">
        <f>GF_Operating_Statement!G34</f>
        <v/>
      </c>
      <c r="H25" s="36">
        <f>GF_Operating_Statement!H34</f>
        <v/>
      </c>
      <c r="I25" s="36">
        <f>GF_Operating_Statement!I34</f>
        <v/>
      </c>
      <c r="J25" s="36">
        <f>GF_Operating_Statement!J34</f>
        <v/>
      </c>
      <c r="K25" s="36">
        <f>GF_Operating_Statement!K34</f>
        <v/>
      </c>
      <c r="L25" s="36">
        <f>GF_Operating_Statement!L34</f>
        <v/>
      </c>
      <c r="M25" s="36">
        <f>GF_Operating_Statement!M34</f>
        <v/>
      </c>
    </row>
    <row r="26">
      <c r="A26" s="21" t="inlineStr">
        <is>
          <t>Excess (deficiency) of revenues over (under) expenditures</t>
        </is>
      </c>
      <c r="B26" s="36">
        <f>GF_Operating_Statement!B36</f>
        <v/>
      </c>
      <c r="C26" s="36">
        <f>GF_Operating_Statement!C36</f>
        <v/>
      </c>
      <c r="D26" s="36">
        <f>GF_Operating_Statement!D36</f>
        <v/>
      </c>
      <c r="E26" s="36">
        <f>GF_Operating_Statement!E36</f>
        <v/>
      </c>
      <c r="F26" s="36">
        <f>GF_Operating_Statement!F36</f>
        <v/>
      </c>
      <c r="G26" s="36">
        <f>GF_Operating_Statement!G36</f>
        <v/>
      </c>
      <c r="H26" s="36">
        <f>GF_Operating_Statement!H36</f>
        <v/>
      </c>
      <c r="I26" s="36">
        <f>GF_Operating_Statement!I36</f>
        <v/>
      </c>
      <c r="J26" s="36">
        <f>GF_Operating_Statement!J36</f>
        <v/>
      </c>
      <c r="K26" s="36">
        <f>GF_Operating_Statement!K36</f>
        <v/>
      </c>
      <c r="L26" s="36">
        <f>GF_Operating_Statement!L36</f>
        <v/>
      </c>
      <c r="M26" s="36">
        <f>GF_Operating_Statement!M36</f>
        <v/>
      </c>
    </row>
    <row r="27">
      <c r="A27" s="21" t="inlineStr">
        <is>
          <t>Total other financing sources (uses)</t>
        </is>
      </c>
      <c r="B27" s="36">
        <f>GF_Operating_Statement!B43</f>
        <v/>
      </c>
      <c r="C27" s="36">
        <f>GF_Operating_Statement!C43</f>
        <v/>
      </c>
      <c r="D27" s="36">
        <f>GF_Operating_Statement!D43</f>
        <v/>
      </c>
      <c r="E27" s="36">
        <f>GF_Operating_Statement!E43</f>
        <v/>
      </c>
      <c r="F27" s="36">
        <f>GF_Operating_Statement!F43</f>
        <v/>
      </c>
      <c r="G27" s="36">
        <f>GF_Operating_Statement!G43</f>
        <v/>
      </c>
      <c r="H27" s="36">
        <f>GF_Operating_Statement!H43</f>
        <v/>
      </c>
      <c r="I27" s="36">
        <f>GF_Operating_Statement!I43</f>
        <v/>
      </c>
      <c r="J27" s="36">
        <f>GF_Operating_Statement!J43</f>
        <v/>
      </c>
      <c r="K27" s="36">
        <f>GF_Operating_Statement!K43</f>
        <v/>
      </c>
      <c r="L27" s="36">
        <f>GF_Operating_Statement!L43</f>
        <v/>
      </c>
      <c r="M27" s="36">
        <f>GF_Operating_Statement!M43</f>
        <v/>
      </c>
    </row>
    <row r="28">
      <c r="A28" s="21" t="inlineStr">
        <is>
          <t>Special items</t>
        </is>
      </c>
      <c r="B28" s="36">
        <f>GF_Operating_Statement!B46</f>
        <v/>
      </c>
      <c r="C28" s="36">
        <f>GF_Operating_Statement!C46</f>
        <v/>
      </c>
      <c r="D28" s="36">
        <f>GF_Operating_Statement!D46</f>
        <v/>
      </c>
      <c r="E28" s="36">
        <f>GF_Operating_Statement!E46</f>
        <v/>
      </c>
      <c r="F28" s="36">
        <f>GF_Operating_Statement!F46</f>
        <v/>
      </c>
      <c r="G28" s="36">
        <f>GF_Operating_Statement!G46</f>
        <v/>
      </c>
      <c r="H28" s="36">
        <f>GF_Operating_Statement!H46</f>
        <v/>
      </c>
      <c r="I28" s="36">
        <f>GF_Operating_Statement!I46</f>
        <v/>
      </c>
      <c r="J28" s="36">
        <f>GF_Operating_Statement!J46</f>
        <v/>
      </c>
      <c r="K28" s="36">
        <f>GF_Operating_Statement!K46</f>
        <v/>
      </c>
      <c r="L28" s="36">
        <f>GF_Operating_Statement!L46</f>
        <v/>
      </c>
      <c r="M28" s="36">
        <f>GF_Operating_Statement!M46</f>
        <v/>
      </c>
    </row>
    <row r="29">
      <c r="A29" s="12" t="inlineStr">
        <is>
          <t>Net change in fund balance</t>
        </is>
      </c>
      <c r="B29" s="79">
        <f>GF_Operating_Statement!B48</f>
        <v/>
      </c>
      <c r="C29" s="79">
        <f>GF_Operating_Statement!C48</f>
        <v/>
      </c>
      <c r="D29" s="79">
        <f>GF_Operating_Statement!D48</f>
        <v/>
      </c>
      <c r="E29" s="79">
        <f>GF_Operating_Statement!E48</f>
        <v/>
      </c>
      <c r="F29" s="79">
        <f>GF_Operating_Statement!F48</f>
        <v/>
      </c>
      <c r="G29" s="79">
        <f>GF_Operating_Statement!G48</f>
        <v/>
      </c>
      <c r="H29" s="79">
        <f>GF_Operating_Statement!H48</f>
        <v/>
      </c>
      <c r="I29" s="79">
        <f>GF_Operating_Statement!I48</f>
        <v/>
      </c>
      <c r="J29" s="79">
        <f>GF_Operating_Statement!J48</f>
        <v/>
      </c>
      <c r="K29" s="79">
        <f>GF_Operating_Statement!K48</f>
        <v/>
      </c>
      <c r="L29" s="79">
        <f>GF_Operating_Statement!L48</f>
        <v/>
      </c>
      <c r="M29" s="79">
        <f>GF_Operating_Statement!M48</f>
        <v/>
      </c>
    </row>
    <row r="30">
      <c r="A30" s="21" t="inlineStr">
        <is>
          <t>Debt service as a percentage of noncapital expenditures</t>
        </is>
      </c>
      <c r="B30" s="33">
        <f>IFERROR((GF_Operating_Statement!B32+GF_Operating_Statement!B33)/(GF_Operating_Statement!B34-GF_Operating_Statement!B30),0)</f>
        <v/>
      </c>
      <c r="C30" s="33">
        <f>IFERROR((GF_Operating_Statement!C32+GF_Operating_Statement!C33)/(GF_Operating_Statement!C34-GF_Operating_Statement!C30),0)</f>
        <v/>
      </c>
      <c r="D30" s="33">
        <f>IFERROR((GF_Operating_Statement!D32+GF_Operating_Statement!D33)/(GF_Operating_Statement!D34-GF_Operating_Statement!D30),0)</f>
        <v/>
      </c>
      <c r="E30" s="33">
        <f>IFERROR((GF_Operating_Statement!E32+GF_Operating_Statement!E33)/(GF_Operating_Statement!E34-GF_Operating_Statement!E30),0)</f>
        <v/>
      </c>
      <c r="F30" s="33">
        <f>IFERROR((GF_Operating_Statement!F32+GF_Operating_Statement!F33)/(GF_Operating_Statement!F34-GF_Operating_Statement!F30),0)</f>
        <v/>
      </c>
      <c r="G30" s="33">
        <f>IFERROR((GF_Operating_Statement!G32+GF_Operating_Statement!G33)/(GF_Operating_Statement!G34-GF_Operating_Statement!G30),0)</f>
        <v/>
      </c>
      <c r="H30" s="33">
        <f>IFERROR((GF_Operating_Statement!H32+GF_Operating_Statement!H33)/(GF_Operating_Statement!H34-GF_Operating_Statement!H30),0)</f>
        <v/>
      </c>
      <c r="I30" s="33">
        <f>IFERROR((GF_Operating_Statement!I32+GF_Operating_Statement!I33)/(GF_Operating_Statement!I34-GF_Operating_Statement!I30),0)</f>
        <v/>
      </c>
      <c r="J30" s="33">
        <f>IFERROR((GF_Operating_Statement!J32+GF_Operating_Statement!J33)/(GF_Operating_Statement!J34-GF_Operating_Statement!J30),0)</f>
        <v/>
      </c>
      <c r="K30" s="33">
        <f>IFERROR((GF_Operating_Statement!K32+GF_Operating_Statement!K33)/(GF_Operating_Statement!K34-GF_Operating_Statement!K30),0)</f>
        <v/>
      </c>
      <c r="L30" s="33">
        <f>IFERROR((GF_Operating_Statement!L32+GF_Operating_Statement!L33)/(GF_Operating_Statement!L34-GF_Operating_Statement!L30),0)</f>
        <v/>
      </c>
      <c r="M30" s="33">
        <f>IFERROR((GF_Operating_Statement!M32+GF_Operating_Statement!M33)/(GF_Operating_Statement!M34-GF_Operating_Statement!M30),0)</f>
        <v/>
      </c>
    </row>
    <row r="31">
      <c r="A31" s="2" t="n"/>
      <c r="B31" s="2" t="n"/>
      <c r="C31" s="2" t="n"/>
      <c r="D31" s="2" t="n"/>
      <c r="E31" s="2" t="n"/>
      <c r="F31" s="2" t="n"/>
      <c r="G31" s="2" t="n"/>
      <c r="H31" s="2" t="n"/>
      <c r="I31" s="2" t="n"/>
      <c r="J31" s="2" t="n"/>
      <c r="K31" s="2" t="n"/>
      <c r="L31" s="2" t="n"/>
      <c r="M31" s="2" t="n"/>
    </row>
    <row r="32">
      <c r="A32" s="19" t="inlineStr">
        <is>
          <t>SCHEDULE 4 - RATIOS OF OUTSTANDING DEBT BY TYPE, GOVERNMENTAL ACTIVITIES (cf. ACFR Table 10)</t>
        </is>
      </c>
      <c r="B32" s="20" t="n"/>
      <c r="C32" s="20" t="n"/>
      <c r="D32" s="20" t="n"/>
      <c r="E32" s="20" t="n"/>
      <c r="F32" s="20" t="n"/>
      <c r="G32" s="20" t="n"/>
      <c r="H32" s="20" t="n"/>
      <c r="I32" s="20" t="n"/>
      <c r="J32" s="20" t="n"/>
      <c r="K32" s="20" t="n"/>
      <c r="L32" s="20" t="n"/>
      <c r="M32" s="20" t="n"/>
    </row>
    <row r="33">
      <c r="A33" s="21" t="inlineStr">
        <is>
          <t>Revenue bonds and notes (incl. COPs)</t>
        </is>
      </c>
      <c r="B33" s="36">
        <f>CW_LT_Liabilities!B8</f>
        <v/>
      </c>
      <c r="C33" s="36">
        <f>CW_LT_Liabilities!C8</f>
        <v/>
      </c>
      <c r="D33" s="36">
        <f>CW_LT_Liabilities!D8</f>
        <v/>
      </c>
      <c r="E33" s="36">
        <f>CW_LT_Liabilities!E8</f>
        <v/>
      </c>
      <c r="F33" s="36">
        <f>CW_LT_Liabilities!F8</f>
        <v/>
      </c>
      <c r="G33" s="36">
        <f>CW_LT_Liabilities!G8</f>
        <v/>
      </c>
      <c r="H33" s="36">
        <f>CW_LT_Liabilities!H8</f>
        <v/>
      </c>
      <c r="I33" s="36">
        <f>CW_LT_Liabilities!I8</f>
        <v/>
      </c>
      <c r="J33" s="36">
        <f>CW_LT_Liabilities!J8</f>
        <v/>
      </c>
      <c r="K33" s="36">
        <f>CW_LT_Liabilities!K8</f>
        <v/>
      </c>
      <c r="L33" s="36">
        <f>CW_LT_Liabilities!L8</f>
        <v/>
      </c>
      <c r="M33" s="36">
        <f>CW_LT_Liabilities!M8</f>
        <v/>
      </c>
    </row>
    <row r="34">
      <c r="A34" s="21" t="inlineStr">
        <is>
          <t>Capital leases / financed purchases</t>
        </is>
      </c>
      <c r="B34" s="36">
        <f>CW_LT_Liabilities!B9</f>
        <v/>
      </c>
      <c r="C34" s="36">
        <f>CW_LT_Liabilities!C9</f>
        <v/>
      </c>
      <c r="D34" s="36">
        <f>CW_LT_Liabilities!D9</f>
        <v/>
      </c>
      <c r="E34" s="36">
        <f>CW_LT_Liabilities!E9</f>
        <v/>
      </c>
      <c r="F34" s="36">
        <f>CW_LT_Liabilities!F9</f>
        <v/>
      </c>
      <c r="G34" s="36">
        <f>CW_LT_Liabilities!G9</f>
        <v/>
      </c>
      <c r="H34" s="36">
        <f>CW_LT_Liabilities!H9</f>
        <v/>
      </c>
      <c r="I34" s="36">
        <f>CW_LT_Liabilities!I9</f>
        <v/>
      </c>
      <c r="J34" s="36">
        <f>CW_LT_Liabilities!J9</f>
        <v/>
      </c>
      <c r="K34" s="36">
        <f>CW_LT_Liabilities!K9</f>
        <v/>
      </c>
      <c r="L34" s="36">
        <f>CW_LT_Liabilities!L9</f>
        <v/>
      </c>
      <c r="M34" s="36">
        <f>CW_LT_Liabilities!M9</f>
        <v/>
      </c>
    </row>
    <row r="35">
      <c r="A35" s="21" t="inlineStr">
        <is>
          <t>Leases and subscription liabilities (GASB 87/96)</t>
        </is>
      </c>
      <c r="B35" s="36">
        <f>CW_LT_Liabilities!B10</f>
        <v/>
      </c>
      <c r="C35" s="36">
        <f>CW_LT_Liabilities!C10</f>
        <v/>
      </c>
      <c r="D35" s="36">
        <f>CW_LT_Liabilities!D10</f>
        <v/>
      </c>
      <c r="E35" s="36">
        <f>CW_LT_Liabilities!E10</f>
        <v/>
      </c>
      <c r="F35" s="36">
        <f>CW_LT_Liabilities!F10</f>
        <v/>
      </c>
      <c r="G35" s="36">
        <f>CW_LT_Liabilities!G10</f>
        <v/>
      </c>
      <c r="H35" s="36">
        <f>CW_LT_Liabilities!H10</f>
        <v/>
      </c>
      <c r="I35" s="36">
        <f>CW_LT_Liabilities!I10</f>
        <v/>
      </c>
      <c r="J35" s="36">
        <f>CW_LT_Liabilities!J10</f>
        <v/>
      </c>
      <c r="K35" s="36">
        <f>CW_LT_Liabilities!K10</f>
        <v/>
      </c>
      <c r="L35" s="36">
        <f>CW_LT_Liabilities!L10</f>
        <v/>
      </c>
      <c r="M35" s="36">
        <f>CW_LT_Liabilities!M10</f>
        <v/>
      </c>
    </row>
    <row r="36">
      <c r="A36" s="21" t="inlineStr">
        <is>
          <t>Unamortized premiums / rounding</t>
        </is>
      </c>
      <c r="B36" s="36">
        <f>CW_LT_Liabilities!B11</f>
        <v/>
      </c>
      <c r="C36" s="36">
        <f>CW_LT_Liabilities!C11</f>
        <v/>
      </c>
      <c r="D36" s="36">
        <f>CW_LT_Liabilities!D11</f>
        <v/>
      </c>
      <c r="E36" s="36">
        <f>CW_LT_Liabilities!E11</f>
        <v/>
      </c>
      <c r="F36" s="36">
        <f>CW_LT_Liabilities!F11</f>
        <v/>
      </c>
      <c r="G36" s="36">
        <f>CW_LT_Liabilities!G11</f>
        <v/>
      </c>
      <c r="H36" s="36">
        <f>CW_LT_Liabilities!H11</f>
        <v/>
      </c>
      <c r="I36" s="36">
        <f>CW_LT_Liabilities!I11</f>
        <v/>
      </c>
      <c r="J36" s="36">
        <f>CW_LT_Liabilities!J11</f>
        <v/>
      </c>
      <c r="K36" s="36">
        <f>CW_LT_Liabilities!K11</f>
        <v/>
      </c>
      <c r="L36" s="36">
        <f>CW_LT_Liabilities!L11</f>
        <v/>
      </c>
      <c r="M36" s="36">
        <f>CW_LT_Liabilities!M11</f>
        <v/>
      </c>
    </row>
    <row r="37">
      <c r="A37" s="12" t="inlineStr">
        <is>
          <t>Total governmental activities debt</t>
        </is>
      </c>
      <c r="B37" s="79">
        <f>CW_LT_Liabilities!B12</f>
        <v/>
      </c>
      <c r="C37" s="79">
        <f>CW_LT_Liabilities!C12</f>
        <v/>
      </c>
      <c r="D37" s="79">
        <f>CW_LT_Liabilities!D12</f>
        <v/>
      </c>
      <c r="E37" s="79">
        <f>CW_LT_Liabilities!E12</f>
        <v/>
      </c>
      <c r="F37" s="79">
        <f>CW_LT_Liabilities!F12</f>
        <v/>
      </c>
      <c r="G37" s="79">
        <f>CW_LT_Liabilities!G12</f>
        <v/>
      </c>
      <c r="H37" s="79">
        <f>CW_LT_Liabilities!H12</f>
        <v/>
      </c>
      <c r="I37" s="79">
        <f>CW_LT_Liabilities!I12</f>
        <v/>
      </c>
      <c r="J37" s="79">
        <f>CW_LT_Liabilities!J12</f>
        <v/>
      </c>
      <c r="K37" s="79">
        <f>CW_LT_Liabilities!K12</f>
        <v/>
      </c>
      <c r="L37" s="79">
        <f>CW_LT_Liabilities!L12</f>
        <v/>
      </c>
      <c r="M37" s="79">
        <f>CW_LT_Liabilities!M12</f>
        <v/>
      </c>
    </row>
    <row r="38">
      <c r="A38" s="13" t="inlineStr">
        <is>
          <t>Population (ACFR Table 13)</t>
        </is>
      </c>
      <c r="B38" s="80" t="n">
        <v>24087</v>
      </c>
      <c r="C38" s="80" t="n">
        <v>24115</v>
      </c>
      <c r="D38" s="80" t="n">
        <v>24954</v>
      </c>
      <c r="E38" s="80" t="n">
        <v>24600</v>
      </c>
      <c r="F38" s="80" t="n">
        <v>24646</v>
      </c>
      <c r="G38" s="80" t="n">
        <v>25459</v>
      </c>
      <c r="H38" s="80" t="n">
        <v>24953</v>
      </c>
      <c r="I38" s="80" t="n">
        <v>24953</v>
      </c>
      <c r="J38" s="80" t="n">
        <v>25710</v>
      </c>
      <c r="K38" s="80" t="n">
        <v>25484</v>
      </c>
      <c r="L38" s="80" t="n">
        <v>25552</v>
      </c>
      <c r="M38" s="80" t="n">
        <v>25962</v>
      </c>
    </row>
    <row r="39">
      <c r="A39" s="13" t="inlineStr">
        <is>
          <t>Personal income (ACFR Table 13)</t>
        </is>
      </c>
      <c r="B39" s="29" t="n">
        <v>1018350000</v>
      </c>
      <c r="C39" s="29" t="n">
        <v>1053560000</v>
      </c>
      <c r="D39" s="29" t="n">
        <v>1138226802</v>
      </c>
      <c r="E39" s="29" t="n">
        <v>1113784000</v>
      </c>
      <c r="F39" s="29" t="n">
        <v>2283944820</v>
      </c>
      <c r="G39" s="29" t="n">
        <v>2556643698</v>
      </c>
      <c r="H39" s="29" t="n">
        <v>2505830166</v>
      </c>
      <c r="I39" s="29" t="n">
        <v>2702359994</v>
      </c>
      <c r="J39" s="29" t="n">
        <v>3004856250</v>
      </c>
      <c r="K39" s="29" t="n">
        <v>3068630376</v>
      </c>
      <c r="L39" s="29" t="n">
        <v>3076818528</v>
      </c>
      <c r="M39" s="29" t="n">
        <v>3309505950</v>
      </c>
    </row>
    <row r="40">
      <c r="A40" s="21" t="inlineStr">
        <is>
          <t>Debt per capita ($)</t>
        </is>
      </c>
      <c r="B40" s="81">
        <f>IFERROR(B37/B38,0)</f>
        <v/>
      </c>
      <c r="C40" s="81">
        <f>IFERROR(C37/C38,0)</f>
        <v/>
      </c>
      <c r="D40" s="81">
        <f>IFERROR(D37/D38,0)</f>
        <v/>
      </c>
      <c r="E40" s="81">
        <f>IFERROR(E37/E38,0)</f>
        <v/>
      </c>
      <c r="F40" s="81">
        <f>IFERROR(F37/F38,0)</f>
        <v/>
      </c>
      <c r="G40" s="81">
        <f>IFERROR(G37/G38,0)</f>
        <v/>
      </c>
      <c r="H40" s="81">
        <f>IFERROR(H37/H38,0)</f>
        <v/>
      </c>
      <c r="I40" s="81">
        <f>IFERROR(I37/I38,0)</f>
        <v/>
      </c>
      <c r="J40" s="81">
        <f>IFERROR(J37/J38,0)</f>
        <v/>
      </c>
      <c r="K40" s="81">
        <f>IFERROR(K37/K38,0)</f>
        <v/>
      </c>
      <c r="L40" s="81">
        <f>IFERROR(L37/L38,0)</f>
        <v/>
      </c>
      <c r="M40" s="81">
        <f>IFERROR(M37/M38,0)</f>
        <v/>
      </c>
    </row>
    <row r="41">
      <c r="A41" s="21" t="inlineStr">
        <is>
          <t>Debt as % of personal income</t>
        </is>
      </c>
      <c r="B41" s="82">
        <f>IFERROR(B37/B39,0)</f>
        <v/>
      </c>
      <c r="C41" s="82">
        <f>IFERROR(C37/C39,0)</f>
        <v/>
      </c>
      <c r="D41" s="82">
        <f>IFERROR(D37/D39,0)</f>
        <v/>
      </c>
      <c r="E41" s="82">
        <f>IFERROR(E37/E39,0)</f>
        <v/>
      </c>
      <c r="F41" s="82">
        <f>IFERROR(F37/F39,0)</f>
        <v/>
      </c>
      <c r="G41" s="82">
        <f>IFERROR(G37/G39,0)</f>
        <v/>
      </c>
      <c r="H41" s="82">
        <f>IFERROR(H37/H39,0)</f>
        <v/>
      </c>
      <c r="I41" s="82">
        <f>IFERROR(I37/I39,0)</f>
        <v/>
      </c>
      <c r="J41" s="82">
        <f>IFERROR(J37/J39,0)</f>
        <v/>
      </c>
      <c r="K41" s="82">
        <f>IFERROR(K37/K39,0)</f>
        <v/>
      </c>
      <c r="L41" s="82">
        <f>IFERROR(L37/L39,0)</f>
        <v/>
      </c>
      <c r="M41" s="82">
        <f>IFERROR(M37/M39,0)</f>
        <v/>
      </c>
    </row>
    <row r="42">
      <c r="A42" s="21" t="inlineStr">
        <is>
          <t>Net pension liability per capita ($)</t>
        </is>
      </c>
      <c r="B42" s="81">
        <f>IFERROR(CW_LT_Liabilities!B18/B38,0)</f>
        <v/>
      </c>
      <c r="C42" s="81">
        <f>IFERROR(CW_LT_Liabilities!C18/C38,0)</f>
        <v/>
      </c>
      <c r="D42" s="81">
        <f>IFERROR(CW_LT_Liabilities!D18/D38,0)</f>
        <v/>
      </c>
      <c r="E42" s="81">
        <f>IFERROR(CW_LT_Liabilities!E18/E38,0)</f>
        <v/>
      </c>
      <c r="F42" s="81">
        <f>IFERROR(CW_LT_Liabilities!F18/F38,0)</f>
        <v/>
      </c>
      <c r="G42" s="81">
        <f>IFERROR(CW_LT_Liabilities!G18/G38,0)</f>
        <v/>
      </c>
      <c r="H42" s="81">
        <f>IFERROR(CW_LT_Liabilities!H18/H38,0)</f>
        <v/>
      </c>
      <c r="I42" s="81">
        <f>IFERROR(CW_LT_Liabilities!I18/I38,0)</f>
        <v/>
      </c>
      <c r="J42" s="81">
        <f>IFERROR(CW_LT_Liabilities!J18/J38,0)</f>
        <v/>
      </c>
      <c r="K42" s="81">
        <f>IFERROR(CW_LT_Liabilities!K18/K38,0)</f>
        <v/>
      </c>
      <c r="L42" s="81">
        <f>IFERROR(CW_LT_Liabilities!L18/L38,0)</f>
        <v/>
      </c>
      <c r="M42" s="81">
        <f>IFERROR(CW_LT_Liabilities!M18/M38,0)</f>
        <v/>
      </c>
    </row>
    <row r="43">
      <c r="A43" s="2" t="n"/>
      <c r="B43" s="2" t="n"/>
      <c r="C43" s="2" t="n"/>
      <c r="D43" s="2" t="n"/>
      <c r="E43" s="2" t="n"/>
      <c r="F43" s="2" t="n"/>
      <c r="G43" s="2" t="n"/>
      <c r="H43" s="2" t="n"/>
      <c r="I43" s="2" t="n"/>
      <c r="J43" s="2" t="n"/>
      <c r="K43" s="2" t="n"/>
      <c r="L43" s="2" t="n"/>
      <c r="M43" s="2" t="n"/>
    </row>
    <row r="44">
      <c r="A44" s="19" t="inlineStr">
        <is>
          <t>CROSS-CHECK AGAINST THE CITY'S FY2025 ACFR STATISTICAL SECTION (FY2016-FY2025)</t>
        </is>
      </c>
      <c r="B44" s="20" t="n"/>
      <c r="C44" s="20" t="n"/>
      <c r="D44" s="20" t="n"/>
      <c r="E44" s="20" t="n"/>
      <c r="F44" s="20" t="n"/>
      <c r="G44" s="20" t="n"/>
      <c r="H44" s="20" t="n"/>
      <c r="I44" s="20" t="n"/>
      <c r="J44" s="20" t="n"/>
      <c r="K44" s="20" t="n"/>
      <c r="L44" s="20" t="n"/>
      <c r="M44" s="20" t="n"/>
    </row>
    <row r="45">
      <c r="A45" s="13" t="inlineStr">
        <is>
          <t>ACFR Table 1 - total net position, governmental activities</t>
        </is>
      </c>
      <c r="B45" s="29" t="inlineStr"/>
      <c r="C45" s="29" t="inlineStr"/>
      <c r="D45" s="29" t="n">
        <v>31579940</v>
      </c>
      <c r="E45" s="29" t="n">
        <v>31034877</v>
      </c>
      <c r="F45" s="29" t="n">
        <v>25076330</v>
      </c>
      <c r="G45" s="29" t="n">
        <v>15508010</v>
      </c>
      <c r="H45" s="29" t="n">
        <v>10434821</v>
      </c>
      <c r="I45" s="29" t="n">
        <v>14030568</v>
      </c>
      <c r="J45" s="29" t="n">
        <v>15588522</v>
      </c>
      <c r="K45" s="29" t="n">
        <v>39885047</v>
      </c>
      <c r="L45" s="29" t="n">
        <v>47792469</v>
      </c>
      <c r="M45" s="29" t="n">
        <v>51314983</v>
      </c>
    </row>
    <row r="46">
      <c r="A46" s="13" t="inlineStr">
        <is>
          <t xml:space="preserve">   Difference: this workbook - ACFR table</t>
        </is>
      </c>
      <c r="B46" s="35" t="inlineStr"/>
      <c r="C46" s="35" t="inlineStr"/>
      <c r="D46" s="35">
        <f>D11-D45</f>
        <v/>
      </c>
      <c r="E46" s="35">
        <f>E11-E45</f>
        <v/>
      </c>
      <c r="F46" s="35">
        <f>F11-F45</f>
        <v/>
      </c>
      <c r="G46" s="35">
        <f>G11-G45</f>
        <v/>
      </c>
      <c r="H46" s="35">
        <f>H11-H45</f>
        <v/>
      </c>
      <c r="I46" s="35">
        <f>I11-I45</f>
        <v/>
      </c>
      <c r="J46" s="35">
        <f>J11-J45</f>
        <v/>
      </c>
      <c r="K46" s="35">
        <f>K11-K45</f>
        <v/>
      </c>
      <c r="L46" s="35">
        <f>L11-L45</f>
        <v/>
      </c>
      <c r="M46" s="35">
        <f>M11-M45</f>
        <v/>
      </c>
    </row>
    <row r="47">
      <c r="A47" s="13" t="inlineStr">
        <is>
          <t>ACFR Table 3 - total General Fund</t>
        </is>
      </c>
      <c r="B47" s="29" t="inlineStr"/>
      <c r="C47" s="29" t="inlineStr"/>
      <c r="D47" s="29" t="n">
        <v>1893842</v>
      </c>
      <c r="E47" s="29" t="n">
        <v>818720</v>
      </c>
      <c r="F47" s="29" t="n">
        <v>87570</v>
      </c>
      <c r="G47" s="29" t="n">
        <v>-56692</v>
      </c>
      <c r="H47" s="29" t="n">
        <v>-110021</v>
      </c>
      <c r="I47" s="29" t="n">
        <v>7143262</v>
      </c>
      <c r="J47" s="29" t="n">
        <v>16624174</v>
      </c>
      <c r="K47" s="29" t="n">
        <v>23143081</v>
      </c>
      <c r="L47" s="29" t="n">
        <v>22893338</v>
      </c>
      <c r="M47" s="29" t="n">
        <v>24250508</v>
      </c>
    </row>
    <row r="48">
      <c r="A48" s="13" t="inlineStr">
        <is>
          <t xml:space="preserve">   Difference: this workbook - ACFR table</t>
        </is>
      </c>
      <c r="B48" s="35" t="inlineStr"/>
      <c r="C48" s="35" t="inlineStr"/>
      <c r="D48" s="35">
        <f>D19-D47</f>
        <v/>
      </c>
      <c r="E48" s="35">
        <f>E19-E47</f>
        <v/>
      </c>
      <c r="F48" s="35">
        <f>F19-F47</f>
        <v/>
      </c>
      <c r="G48" s="35">
        <f>G19-G47</f>
        <v/>
      </c>
      <c r="H48" s="35">
        <f>H19-H47</f>
        <v/>
      </c>
      <c r="I48" s="35">
        <f>I19-I47</f>
        <v/>
      </c>
      <c r="J48" s="35">
        <f>J19-J47</f>
        <v/>
      </c>
      <c r="K48" s="35">
        <f>K19-K47</f>
        <v/>
      </c>
      <c r="L48" s="35">
        <f>L19-L47</f>
        <v/>
      </c>
      <c r="M48" s="35">
        <f>M19-M47</f>
        <v/>
      </c>
    </row>
    <row r="49">
      <c r="A49" s="13" t="inlineStr">
        <is>
          <t>ACFR Table 3 - total fund balances, all governmental funds</t>
        </is>
      </c>
      <c r="B49" s="29" t="inlineStr"/>
      <c r="C49" s="29" t="inlineStr"/>
      <c r="D49" s="29" t="n">
        <v>10753378</v>
      </c>
      <c r="E49" s="29" t="n">
        <v>15624337</v>
      </c>
      <c r="F49" s="29" t="n">
        <v>14797126</v>
      </c>
      <c r="G49" s="29" t="n">
        <v>12751823</v>
      </c>
      <c r="H49" s="29" t="n">
        <v>14089516</v>
      </c>
      <c r="I49" s="29" t="n">
        <v>21878516</v>
      </c>
      <c r="J49" s="29" t="n">
        <v>31509231</v>
      </c>
      <c r="K49" s="29" t="n">
        <v>39222668</v>
      </c>
      <c r="L49" s="29" t="n">
        <v>41682246</v>
      </c>
      <c r="M49" s="29" t="n">
        <v>43970819</v>
      </c>
    </row>
    <row r="50">
      <c r="A50" s="13" t="inlineStr">
        <is>
          <t xml:space="preserve">   Difference: this workbook - ACFR table</t>
        </is>
      </c>
      <c r="B50" s="35" t="inlineStr"/>
      <c r="C50" s="35" t="inlineStr"/>
      <c r="D50" s="35">
        <f>D21-D49</f>
        <v/>
      </c>
      <c r="E50" s="35">
        <f>E21-E49</f>
        <v/>
      </c>
      <c r="F50" s="35">
        <f>F21-F49</f>
        <v/>
      </c>
      <c r="G50" s="35">
        <f>G21-G49</f>
        <v/>
      </c>
      <c r="H50" s="35">
        <f>H21-H49</f>
        <v/>
      </c>
      <c r="I50" s="35">
        <f>I21-I49</f>
        <v/>
      </c>
      <c r="J50" s="35">
        <f>J21-J49</f>
        <v/>
      </c>
      <c r="K50" s="35">
        <f>K21-K49</f>
        <v/>
      </c>
      <c r="L50" s="35">
        <f>L21-L49</f>
        <v/>
      </c>
      <c r="M50" s="35">
        <f>M21-M49</f>
        <v/>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375623"/>
    <outlinePr summaryBelow="1" summaryRight="1"/>
    <pageSetUpPr/>
  </sheetPr>
  <dimension ref="A1:K7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City of El Cerrito - STATISTICAL SCHEDULES: REVENUE CAPACITY AND OPERATING INFORMATION (GASB 44)</t>
        </is>
      </c>
      <c r="B1" s="2" t="n"/>
      <c r="C1" s="2" t="n"/>
      <c r="D1" s="2" t="n"/>
      <c r="E1" s="2" t="n"/>
      <c r="F1" s="2" t="n"/>
      <c r="G1" s="2" t="n"/>
      <c r="H1" s="2" t="n"/>
      <c r="I1" s="2" t="n"/>
      <c r="J1" s="2" t="n"/>
      <c r="K1" s="2" t="n"/>
    </row>
    <row r="2">
      <c r="A2" s="12" t="inlineStr">
        <is>
          <t>Last ten fiscal years</t>
        </is>
      </c>
      <c r="B2" s="2" t="n"/>
      <c r="C2" s="2" t="n"/>
      <c r="D2" s="2" t="n"/>
      <c r="E2" s="2" t="n"/>
      <c r="F2" s="2" t="n"/>
      <c r="G2" s="2" t="n"/>
      <c r="H2" s="2" t="n"/>
      <c r="I2" s="2" t="n"/>
      <c r="J2" s="2" t="n"/>
      <c r="K2" s="2" t="n"/>
    </row>
    <row r="3">
      <c r="A3" s="7" t="inlineStr">
        <is>
          <t>Source: FY2025 ACFR Statistical Tables 5, 6, 8 and 15 (template pages in ../templates/).</t>
        </is>
      </c>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2" t="n"/>
      <c r="B5" s="2" t="n"/>
      <c r="C5" s="2" t="n"/>
      <c r="D5" s="2" t="n"/>
      <c r="E5" s="2" t="n"/>
      <c r="F5" s="2" t="n"/>
      <c r="G5" s="2" t="n"/>
      <c r="H5" s="2" t="n"/>
      <c r="I5" s="2" t="n"/>
      <c r="J5" s="2" t="n"/>
      <c r="K5" s="2" t="n"/>
    </row>
    <row r="6">
      <c r="A6" s="66" t="inlineStr">
        <is>
          <t>Fiscal year ended June 30</t>
        </is>
      </c>
      <c r="B6" s="67" t="n">
        <v>2016</v>
      </c>
      <c r="C6" s="67" t="n">
        <v>2017</v>
      </c>
      <c r="D6" s="67" t="n">
        <v>2018</v>
      </c>
      <c r="E6" s="67" t="n">
        <v>2019</v>
      </c>
      <c r="F6" s="67" t="n">
        <v>2020</v>
      </c>
      <c r="G6" s="67" t="n">
        <v>2021</v>
      </c>
      <c r="H6" s="67" t="n">
        <v>2022</v>
      </c>
      <c r="I6" s="67" t="n">
        <v>2023</v>
      </c>
      <c r="J6" s="67" t="n">
        <v>2024</v>
      </c>
      <c r="K6" s="67" t="n">
        <v>2025</v>
      </c>
    </row>
    <row r="7">
      <c r="A7" s="19" t="inlineStr">
        <is>
          <t>NET ASSESSED VALUE OF PROPERTY (Table 5)</t>
        </is>
      </c>
      <c r="B7" s="20" t="n"/>
      <c r="C7" s="20" t="n"/>
      <c r="D7" s="20" t="n"/>
      <c r="E7" s="20" t="n"/>
      <c r="F7" s="20" t="n"/>
      <c r="G7" s="20" t="n"/>
      <c r="H7" s="20" t="n"/>
      <c r="I7" s="20" t="n"/>
      <c r="J7" s="20" t="n"/>
      <c r="K7" s="20" t="n"/>
    </row>
    <row r="8">
      <c r="A8" s="21" t="inlineStr">
        <is>
          <t>Real property</t>
        </is>
      </c>
      <c r="B8" s="29" t="n">
        <v>3566630684</v>
      </c>
      <c r="C8" s="29" t="n">
        <v>3810090943</v>
      </c>
      <c r="D8" s="29" t="n">
        <v>4070176177</v>
      </c>
      <c r="E8" s="29" t="n">
        <v>4324516299</v>
      </c>
      <c r="F8" s="29" t="n">
        <v>4578246770</v>
      </c>
      <c r="G8" s="29" t="n">
        <v>4884779461</v>
      </c>
      <c r="H8" s="29" t="n">
        <v>5108805259</v>
      </c>
      <c r="I8" s="29" t="n">
        <v>5459016809</v>
      </c>
      <c r="J8" s="29" t="n">
        <v>5794012816</v>
      </c>
      <c r="K8" s="29" t="n">
        <v>6052457772</v>
      </c>
    </row>
    <row r="9">
      <c r="A9" s="21" t="inlineStr">
        <is>
          <t>Personal property</t>
        </is>
      </c>
      <c r="B9" s="29" t="n">
        <v>22782122</v>
      </c>
      <c r="C9" s="29" t="n">
        <v>20431443</v>
      </c>
      <c r="D9" s="29" t="n">
        <v>19170357</v>
      </c>
      <c r="E9" s="29" t="n">
        <v>19462999</v>
      </c>
      <c r="F9" s="29" t="n">
        <v>21498246</v>
      </c>
      <c r="G9" s="29" t="n">
        <v>19572301</v>
      </c>
      <c r="H9" s="29" t="n">
        <v>18572935</v>
      </c>
      <c r="I9" s="29" t="n">
        <v>18839778</v>
      </c>
      <c r="J9" s="29" t="n">
        <v>21268595</v>
      </c>
      <c r="K9" s="29" t="n">
        <v>23528731</v>
      </c>
    </row>
    <row r="10">
      <c r="A10" s="12" t="inlineStr">
        <is>
          <t>Total net assessed value</t>
        </is>
      </c>
      <c r="B10" s="24">
        <f>B8+B9</f>
        <v/>
      </c>
      <c r="C10" s="24">
        <f>C8+C9</f>
        <v/>
      </c>
      <c r="D10" s="24">
        <f>D8+D9</f>
        <v/>
      </c>
      <c r="E10" s="24">
        <f>E8+E9</f>
        <v/>
      </c>
      <c r="F10" s="24">
        <f>F8+F9</f>
        <v/>
      </c>
      <c r="G10" s="24">
        <f>G8+G9</f>
        <v/>
      </c>
      <c r="H10" s="24">
        <f>H8+H9</f>
        <v/>
      </c>
      <c r="I10" s="24">
        <f>I8+I9</f>
        <v/>
      </c>
      <c r="J10" s="24">
        <f>J8+J9</f>
        <v/>
      </c>
      <c r="K10" s="24">
        <f>K8+K9</f>
        <v/>
      </c>
    </row>
    <row r="11">
      <c r="A11" s="21" t="inlineStr">
        <is>
          <t>% change from prior year</t>
        </is>
      </c>
      <c r="B11" s="33" t="inlineStr"/>
      <c r="C11" s="33">
        <f>IFERROR(C10/B10-1,0)</f>
        <v/>
      </c>
      <c r="D11" s="33">
        <f>IFERROR(D10/C10-1,0)</f>
        <v/>
      </c>
      <c r="E11" s="33">
        <f>IFERROR(E10/D10-1,0)</f>
        <v/>
      </c>
      <c r="F11" s="33">
        <f>IFERROR(F10/E10-1,0)</f>
        <v/>
      </c>
      <c r="G11" s="33">
        <f>IFERROR(G10/F10-1,0)</f>
        <v/>
      </c>
      <c r="H11" s="33">
        <f>IFERROR(H10/G10-1,0)</f>
        <v/>
      </c>
      <c r="I11" s="33">
        <f>IFERROR(I10/H10-1,0)</f>
        <v/>
      </c>
      <c r="J11" s="33">
        <f>IFERROR(J10/I10-1,0)</f>
        <v/>
      </c>
      <c r="K11" s="33">
        <f>IFERROR(K10/J10-1,0)</f>
        <v/>
      </c>
    </row>
    <row r="12">
      <c r="A12" s="13" t="inlineStr">
        <is>
          <t>Check: total vs. ACFR Table 5 (should be 0)</t>
        </is>
      </c>
      <c r="B12" s="35">
        <f>B10-3589412806</f>
        <v/>
      </c>
      <c r="C12" s="35">
        <f>C10-3830522386</f>
        <v/>
      </c>
      <c r="D12" s="35">
        <f>D10-4089346534</f>
        <v/>
      </c>
      <c r="E12" s="35">
        <f>E10-4343979298</f>
        <v/>
      </c>
      <c r="F12" s="35">
        <f>F10-4599745016</f>
        <v/>
      </c>
      <c r="G12" s="35">
        <f>G10-4904351762</f>
        <v/>
      </c>
      <c r="H12" s="35">
        <f>H10-5127378194</f>
        <v/>
      </c>
      <c r="I12" s="35">
        <f>I10-5477856587</f>
        <v/>
      </c>
      <c r="J12" s="35">
        <f>J10-5815281411</f>
        <v/>
      </c>
      <c r="K12" s="35">
        <f>K10-6075986503</f>
        <v/>
      </c>
    </row>
    <row r="13">
      <c r="A13" s="2" t="n"/>
      <c r="B13" s="2" t="n"/>
      <c r="C13" s="2" t="n"/>
      <c r="D13" s="2" t="n"/>
      <c r="E13" s="2" t="n"/>
      <c r="F13" s="2" t="n"/>
      <c r="G13" s="2" t="n"/>
      <c r="H13" s="2" t="n"/>
      <c r="I13" s="2" t="n"/>
      <c r="J13" s="2" t="n"/>
      <c r="K13" s="2" t="n"/>
    </row>
    <row r="14">
      <c r="A14" s="19" t="inlineStr">
        <is>
          <t>PROPERTY TAX LEVIES AND COLLECTIONS (Table 6)</t>
        </is>
      </c>
      <c r="B14" s="20" t="n"/>
      <c r="C14" s="20" t="n"/>
      <c r="D14" s="20" t="n"/>
      <c r="E14" s="20" t="n"/>
      <c r="F14" s="20" t="n"/>
      <c r="G14" s="20" t="n"/>
      <c r="H14" s="20" t="n"/>
      <c r="I14" s="20" t="n"/>
      <c r="J14" s="20" t="n"/>
      <c r="K14" s="20" t="n"/>
    </row>
    <row r="15">
      <c r="A15" s="21" t="inlineStr">
        <is>
          <t>City property tax levy</t>
        </is>
      </c>
      <c r="B15" s="29" t="n">
        <v>9843212</v>
      </c>
      <c r="C15" s="29" t="n">
        <v>8844201</v>
      </c>
      <c r="D15" s="29" t="n">
        <v>7765728</v>
      </c>
      <c r="E15" s="29" t="n">
        <v>8256068</v>
      </c>
      <c r="F15" s="29" t="n">
        <v>8694410</v>
      </c>
      <c r="G15" s="29" t="n">
        <v>9263625</v>
      </c>
      <c r="H15" s="29" t="n">
        <v>9773075</v>
      </c>
      <c r="I15" s="29" t="n">
        <v>10414459</v>
      </c>
      <c r="J15" s="29" t="n">
        <v>10835771</v>
      </c>
      <c r="K15" s="29" t="n">
        <v>11265950</v>
      </c>
    </row>
    <row r="16">
      <c r="A16" s="21" t="inlineStr">
        <is>
          <t>Special assessments</t>
        </is>
      </c>
      <c r="B16" s="29" t="n">
        <v>2142122</v>
      </c>
      <c r="C16" s="29" t="n">
        <v>2141740</v>
      </c>
      <c r="D16" s="29" t="n">
        <v>2110456</v>
      </c>
      <c r="E16" s="29" t="n">
        <v>2112686</v>
      </c>
      <c r="F16" s="29" t="n">
        <v>2132185</v>
      </c>
      <c r="G16" s="29" t="n">
        <v>2128244</v>
      </c>
      <c r="H16" s="29" t="n">
        <v>2151037</v>
      </c>
      <c r="I16" s="29" t="n">
        <v>2146099</v>
      </c>
      <c r="J16" s="29" t="n">
        <v>2145690</v>
      </c>
      <c r="K16" s="29" t="n">
        <v>2151314</v>
      </c>
    </row>
    <row r="17">
      <c r="A17" s="12" t="inlineStr">
        <is>
          <t>Total property tax bill collected</t>
        </is>
      </c>
      <c r="B17" s="24">
        <f>B15+B16</f>
        <v/>
      </c>
      <c r="C17" s="24">
        <f>C15+C16</f>
        <v/>
      </c>
      <c r="D17" s="24">
        <f>D15+D16</f>
        <v/>
      </c>
      <c r="E17" s="24">
        <f>E15+E16</f>
        <v/>
      </c>
      <c r="F17" s="24">
        <f>F15+F16</f>
        <v/>
      </c>
      <c r="G17" s="24">
        <f>G15+G16</f>
        <v/>
      </c>
      <c r="H17" s="24">
        <f>H15+H16</f>
        <v/>
      </c>
      <c r="I17" s="24">
        <f>I15+I16</f>
        <v/>
      </c>
      <c r="J17" s="24">
        <f>J15+J16</f>
        <v/>
      </c>
      <c r="K17" s="24">
        <f>K15+K16</f>
        <v/>
      </c>
    </row>
    <row r="18">
      <c r="A18" s="21" t="inlineStr">
        <is>
          <t>City levy as % of assessed value</t>
        </is>
      </c>
      <c r="B18" s="83">
        <f>IFERROR(B15/B10,0)</f>
        <v/>
      </c>
      <c r="C18" s="83">
        <f>IFERROR(C15/C10,0)</f>
        <v/>
      </c>
      <c r="D18" s="83">
        <f>IFERROR(D15/D10,0)</f>
        <v/>
      </c>
      <c r="E18" s="83">
        <f>IFERROR(E15/E10,0)</f>
        <v/>
      </c>
      <c r="F18" s="83">
        <f>IFERROR(F15/F10,0)</f>
        <v/>
      </c>
      <c r="G18" s="83">
        <f>IFERROR(G15/G10,0)</f>
        <v/>
      </c>
      <c r="H18" s="83">
        <f>IFERROR(H15/H10,0)</f>
        <v/>
      </c>
      <c r="I18" s="83">
        <f>IFERROR(I15/I10,0)</f>
        <v/>
      </c>
      <c r="J18" s="83">
        <f>IFERROR(J15/J10,0)</f>
        <v/>
      </c>
      <c r="K18" s="83">
        <f>IFERROR(K15/K10,0)</f>
        <v/>
      </c>
    </row>
    <row r="19">
      <c r="A19" s="2" t="n"/>
      <c r="B19" s="2" t="n"/>
      <c r="C19" s="2" t="n"/>
      <c r="D19" s="2" t="n"/>
      <c r="E19" s="2" t="n"/>
      <c r="F19" s="2" t="n"/>
      <c r="G19" s="2" t="n"/>
      <c r="H19" s="2" t="n"/>
      <c r="I19" s="2" t="n"/>
      <c r="J19" s="2" t="n"/>
      <c r="K19" s="2" t="n"/>
    </row>
    <row r="20">
      <c r="A20" s="19" t="inlineStr">
        <is>
          <t>PRINCIPAL PROPERTY TAXPAYERS, FY2024-25 (Table 8)</t>
        </is>
      </c>
      <c r="B20" s="20" t="n"/>
      <c r="C20" s="20" t="n"/>
      <c r="D20" s="20" t="n"/>
      <c r="E20" s="20" t="n"/>
      <c r="F20" s="20" t="n"/>
      <c r="G20" s="20" t="n"/>
      <c r="H20" s="20" t="n"/>
      <c r="I20" s="20" t="n"/>
      <c r="J20" s="20" t="n"/>
      <c r="K20" s="20" t="n"/>
    </row>
    <row r="21">
      <c r="A21" s="12" t="inlineStr">
        <is>
          <t>Taxpayer</t>
        </is>
      </c>
      <c r="B21" s="12" t="inlineStr">
        <is>
          <t>Taxable assessed value</t>
        </is>
      </c>
      <c r="C21" s="12" t="inlineStr">
        <is>
          <t>% of total</t>
        </is>
      </c>
      <c r="D21" s="2" t="n"/>
      <c r="E21" s="2" t="n"/>
      <c r="F21" s="2" t="n"/>
      <c r="G21" s="2" t="n"/>
      <c r="H21" s="2" t="n"/>
      <c r="I21" s="2" t="n"/>
      <c r="J21" s="2" t="n"/>
      <c r="K21" s="2" t="n"/>
    </row>
    <row r="22">
      <c r="A22" s="13" t="inlineStr">
        <is>
          <t>MCD-RCCA El Cerrito LLC</t>
        </is>
      </c>
      <c r="B22" s="29" t="n">
        <v>107285314</v>
      </c>
      <c r="C22" s="84">
        <f>B22/K10</f>
        <v/>
      </c>
      <c r="D22" s="2" t="n"/>
      <c r="E22" s="2" t="n"/>
      <c r="F22" s="2" t="n"/>
      <c r="G22" s="2" t="n"/>
      <c r="H22" s="2" t="n"/>
      <c r="I22" s="2" t="n"/>
      <c r="J22" s="2" t="n"/>
      <c r="K22" s="2" t="n"/>
    </row>
    <row r="23">
      <c r="A23" s="13" t="inlineStr">
        <is>
          <t>KMF X El Cerrito LLC</t>
        </is>
      </c>
      <c r="B23" s="29" t="n">
        <v>64301256</v>
      </c>
      <c r="C23" s="84">
        <f>B23/K10</f>
        <v/>
      </c>
      <c r="D23" s="2" t="n"/>
      <c r="E23" s="2" t="n"/>
      <c r="F23" s="2" t="n"/>
      <c r="G23" s="2" t="n"/>
      <c r="H23" s="2" t="n"/>
      <c r="I23" s="2" t="n"/>
      <c r="J23" s="2" t="n"/>
      <c r="K23" s="2" t="n"/>
    </row>
    <row r="24">
      <c r="A24" s="13" t="inlineStr">
        <is>
          <t>HD Reliant Mayfair LLC</t>
        </is>
      </c>
      <c r="B24" s="29" t="n">
        <v>44117115</v>
      </c>
      <c r="C24" s="84">
        <f>B24/K10</f>
        <v/>
      </c>
      <c r="D24" s="2" t="n"/>
      <c r="E24" s="2" t="n"/>
      <c r="F24" s="2" t="n"/>
      <c r="G24" s="2" t="n"/>
      <c r="H24" s="2" t="n"/>
      <c r="I24" s="2" t="n"/>
      <c r="J24" s="2" t="n"/>
      <c r="K24" s="2" t="n"/>
    </row>
    <row r="25">
      <c r="A25" s="13" t="inlineStr">
        <is>
          <t>El Cerrito Shopping Center LLC</t>
        </is>
      </c>
      <c r="B25" s="29" t="n">
        <v>43781560</v>
      </c>
      <c r="C25" s="84">
        <f>B25/K10</f>
        <v/>
      </c>
      <c r="D25" s="2" t="n"/>
      <c r="E25" s="2" t="n"/>
      <c r="F25" s="2" t="n"/>
      <c r="G25" s="2" t="n"/>
      <c r="H25" s="2" t="n"/>
      <c r="I25" s="2" t="n"/>
      <c r="J25" s="2" t="n"/>
      <c r="K25" s="2" t="n"/>
    </row>
    <row r="26">
      <c r="A26" s="13" t="inlineStr">
        <is>
          <t>Del Norte Place Apartments LP</t>
        </is>
      </c>
      <c r="B26" s="29" t="n">
        <v>40916002</v>
      </c>
      <c r="C26" s="84">
        <f>B26/K10</f>
        <v/>
      </c>
      <c r="D26" s="2" t="n"/>
      <c r="E26" s="2" t="n"/>
      <c r="F26" s="2" t="n"/>
      <c r="G26" s="2" t="n"/>
      <c r="H26" s="2" t="n"/>
      <c r="I26" s="2" t="n"/>
      <c r="J26" s="2" t="n"/>
      <c r="K26" s="2" t="n"/>
    </row>
    <row r="27">
      <c r="A27" s="13" t="inlineStr">
        <is>
          <t>Creekside Walk Ventures LLC</t>
        </is>
      </c>
      <c r="B27" s="29" t="n">
        <v>32906792</v>
      </c>
      <c r="C27" s="84">
        <f>B27/K10</f>
        <v/>
      </c>
      <c r="D27" s="2" t="n"/>
      <c r="E27" s="2" t="n"/>
      <c r="F27" s="2" t="n"/>
      <c r="G27" s="2" t="n"/>
      <c r="H27" s="2" t="n"/>
      <c r="I27" s="2" t="n"/>
      <c r="J27" s="2" t="n"/>
      <c r="K27" s="2" t="n"/>
    </row>
    <row r="28">
      <c r="A28" s="13" t="inlineStr">
        <is>
          <t>Save Mart Portfolio Own NLP California</t>
        </is>
      </c>
      <c r="B28" s="29" t="n">
        <v>27828271</v>
      </c>
      <c r="C28" s="84">
        <f>B28/K10</f>
        <v/>
      </c>
      <c r="D28" s="2" t="n"/>
      <c r="E28" s="2" t="n"/>
      <c r="F28" s="2" t="n"/>
      <c r="G28" s="2" t="n"/>
      <c r="H28" s="2" t="n"/>
      <c r="I28" s="2" t="n"/>
      <c r="J28" s="2" t="n"/>
      <c r="K28" s="2" t="n"/>
    </row>
    <row r="29">
      <c r="A29" s="13" t="inlineStr">
        <is>
          <t>Peak Del Norte LLC</t>
        </is>
      </c>
      <c r="B29" s="29" t="n">
        <v>24124530</v>
      </c>
      <c r="C29" s="84">
        <f>B29/K10</f>
        <v/>
      </c>
      <c r="D29" s="2" t="n"/>
      <c r="E29" s="2" t="n"/>
      <c r="F29" s="2" t="n"/>
      <c r="G29" s="2" t="n"/>
      <c r="H29" s="2" t="n"/>
      <c r="I29" s="2" t="n"/>
      <c r="J29" s="2" t="n"/>
      <c r="K29" s="2" t="n"/>
    </row>
    <row r="30">
      <c r="A30" s="13" t="inlineStr">
        <is>
          <t>San Pablo Playland Apartments</t>
        </is>
      </c>
      <c r="B30" s="29" t="n">
        <v>20128697</v>
      </c>
      <c r="C30" s="84">
        <f>B30/K10</f>
        <v/>
      </c>
      <c r="D30" s="2" t="n"/>
      <c r="E30" s="2" t="n"/>
      <c r="F30" s="2" t="n"/>
      <c r="G30" s="2" t="n"/>
      <c r="H30" s="2" t="n"/>
      <c r="I30" s="2" t="n"/>
      <c r="J30" s="2" t="n"/>
      <c r="K30" s="2" t="n"/>
    </row>
    <row r="31">
      <c r="A31" s="13" t="inlineStr">
        <is>
          <t>Civic Plaza Riley Group LLC</t>
        </is>
      </c>
      <c r="B31" s="29" t="n">
        <v>18873501</v>
      </c>
      <c r="C31" s="84">
        <f>B31/K10</f>
        <v/>
      </c>
      <c r="D31" s="2" t="n"/>
      <c r="E31" s="2" t="n"/>
      <c r="F31" s="2" t="n"/>
      <c r="G31" s="2" t="n"/>
      <c r="H31" s="2" t="n"/>
      <c r="I31" s="2" t="n"/>
      <c r="J31" s="2" t="n"/>
      <c r="K31" s="2" t="n"/>
    </row>
    <row r="32">
      <c r="A32" s="12" t="inlineStr">
        <is>
          <t>Top ten, FY2024-25</t>
        </is>
      </c>
      <c r="B32" s="27">
        <f>SUM(B22:B31)</f>
        <v/>
      </c>
      <c r="C32" s="85">
        <f>B32/K10</f>
        <v/>
      </c>
      <c r="D32" s="2" t="n"/>
      <c r="E32" s="2" t="n"/>
      <c r="F32" s="2" t="n"/>
      <c r="G32" s="2" t="n"/>
      <c r="H32" s="2" t="n"/>
      <c r="I32" s="2" t="n"/>
      <c r="J32" s="2" t="n"/>
      <c r="K32" s="2" t="n"/>
    </row>
    <row r="33">
      <c r="A33" s="13" t="inlineStr">
        <is>
          <t>Top ten, FY2015-16 (nine years ago)</t>
        </is>
      </c>
      <c r="B33" s="29" t="n">
        <v>281074638</v>
      </c>
      <c r="C33" s="86">
        <f>B33/B10</f>
        <v/>
      </c>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19" t="inlineStr">
        <is>
          <t>FULL-TIME EQUIVALENT EMPLOYEES BY FUNCTION (Table 15)</t>
        </is>
      </c>
      <c r="B35" s="20" t="n"/>
      <c r="C35" s="20" t="n"/>
      <c r="D35" s="20" t="n"/>
      <c r="E35" s="20" t="n"/>
      <c r="F35" s="20" t="n"/>
      <c r="G35" s="20" t="n"/>
      <c r="H35" s="20" t="n"/>
      <c r="I35" s="20" t="n"/>
      <c r="J35" s="20" t="n"/>
      <c r="K35" s="20" t="n"/>
    </row>
    <row r="36">
      <c r="A36" s="21" t="inlineStr">
        <is>
          <t>General government</t>
        </is>
      </c>
      <c r="B36" s="87" t="n">
        <v>22.5</v>
      </c>
      <c r="C36" s="87" t="n">
        <v>22.5</v>
      </c>
      <c r="D36" s="87" t="n">
        <v>22.5</v>
      </c>
      <c r="E36" s="87" t="n">
        <v>17.5</v>
      </c>
      <c r="F36" s="87" t="n">
        <v>17.5</v>
      </c>
      <c r="G36" s="87" t="n">
        <v>21</v>
      </c>
      <c r="H36" s="87" t="n">
        <v>20</v>
      </c>
      <c r="I36" s="87" t="n">
        <v>21</v>
      </c>
      <c r="J36" s="87" t="n">
        <v>22</v>
      </c>
      <c r="K36" s="87" t="n">
        <v>22</v>
      </c>
    </row>
    <row r="37">
      <c r="A37" s="21" t="inlineStr">
        <is>
          <t>Public works</t>
        </is>
      </c>
      <c r="B37" s="87" t="n">
        <v>24.8</v>
      </c>
      <c r="C37" s="87" t="n">
        <v>22.8</v>
      </c>
      <c r="D37" s="87" t="n">
        <v>24.8</v>
      </c>
      <c r="E37" s="87" t="n">
        <v>25.2</v>
      </c>
      <c r="F37" s="87" t="n">
        <v>25.2</v>
      </c>
      <c r="G37" s="87" t="n">
        <v>25</v>
      </c>
      <c r="H37" s="87" t="n">
        <v>24.2</v>
      </c>
      <c r="I37" s="87" t="n">
        <v>27.3</v>
      </c>
      <c r="J37" s="87" t="n">
        <v>27.3</v>
      </c>
      <c r="K37" s="87" t="n">
        <v>27.3</v>
      </c>
    </row>
    <row r="38">
      <c r="A38" s="21" t="inlineStr">
        <is>
          <t>Recreation</t>
        </is>
      </c>
      <c r="B38" s="87" t="n">
        <v>23</v>
      </c>
      <c r="C38" s="87" t="n">
        <v>22</v>
      </c>
      <c r="D38" s="87" t="n">
        <v>23</v>
      </c>
      <c r="E38" s="87" t="n">
        <v>23</v>
      </c>
      <c r="F38" s="87" t="n">
        <v>23</v>
      </c>
      <c r="G38" s="87" t="n">
        <v>21</v>
      </c>
      <c r="H38" s="87" t="n">
        <v>18</v>
      </c>
      <c r="I38" s="87" t="n">
        <v>20</v>
      </c>
      <c r="J38" s="87" t="n">
        <v>20</v>
      </c>
      <c r="K38" s="87" t="n">
        <v>20</v>
      </c>
    </row>
    <row r="39">
      <c r="A39" s="21" t="inlineStr">
        <is>
          <t>Community development</t>
        </is>
      </c>
      <c r="B39" s="87" t="n">
        <v>14</v>
      </c>
      <c r="C39" s="87" t="n">
        <v>14</v>
      </c>
      <c r="D39" s="87" t="n">
        <v>14</v>
      </c>
      <c r="E39" s="87" t="n">
        <v>14</v>
      </c>
      <c r="F39" s="87" t="n">
        <v>14</v>
      </c>
      <c r="G39" s="87" t="n">
        <v>15</v>
      </c>
      <c r="H39" s="87" t="n">
        <v>14</v>
      </c>
      <c r="I39" s="87" t="n">
        <v>15</v>
      </c>
      <c r="J39" s="87" t="n">
        <v>15</v>
      </c>
      <c r="K39" s="87" t="n">
        <v>15</v>
      </c>
    </row>
    <row r="40">
      <c r="A40" s="21" t="inlineStr">
        <is>
          <t>Public safety</t>
        </is>
      </c>
      <c r="B40" s="87" t="n">
        <v>93.40000000000001</v>
      </c>
      <c r="C40" s="87" t="n">
        <v>85.40000000000001</v>
      </c>
      <c r="D40" s="87" t="n">
        <v>93.40000000000001</v>
      </c>
      <c r="E40" s="87" t="n">
        <v>95</v>
      </c>
      <c r="F40" s="87" t="n">
        <v>95</v>
      </c>
      <c r="G40" s="87" t="n">
        <v>92</v>
      </c>
      <c r="H40" s="87" t="n">
        <v>85</v>
      </c>
      <c r="I40" s="87" t="n">
        <v>85</v>
      </c>
      <c r="J40" s="87" t="n">
        <v>85.5</v>
      </c>
      <c r="K40" s="87" t="n">
        <v>85.5</v>
      </c>
    </row>
    <row r="41">
      <c r="A41" s="12" t="inlineStr">
        <is>
          <t>Total FTEs</t>
        </is>
      </c>
      <c r="B41" s="88">
        <f>SUM(B36:B40)</f>
        <v/>
      </c>
      <c r="C41" s="88">
        <f>SUM(C36:C40)</f>
        <v/>
      </c>
      <c r="D41" s="88">
        <f>SUM(D36:D40)</f>
        <v/>
      </c>
      <c r="E41" s="88">
        <f>SUM(E36:E40)</f>
        <v/>
      </c>
      <c r="F41" s="88">
        <f>SUM(F36:F40)</f>
        <v/>
      </c>
      <c r="G41" s="88">
        <f>SUM(G36:G40)</f>
        <v/>
      </c>
      <c r="H41" s="88">
        <f>SUM(H36:H40)</f>
        <v/>
      </c>
      <c r="I41" s="88">
        <f>SUM(I36:I40)</f>
        <v/>
      </c>
      <c r="J41" s="88">
        <f>SUM(J36:J40)</f>
        <v/>
      </c>
      <c r="K41" s="88">
        <f>SUM(K36:K40)</f>
        <v/>
      </c>
    </row>
    <row r="42">
      <c r="A42" s="21" t="inlineStr">
        <is>
          <t>FTEs per 1,000 residents</t>
        </is>
      </c>
      <c r="B42" s="89">
        <f>IFERROR(B41/24954*1000,0)</f>
        <v/>
      </c>
      <c r="C42" s="89">
        <f>IFERROR(C41/24600*1000,0)</f>
        <v/>
      </c>
      <c r="D42" s="89">
        <f>IFERROR(D41/24646*1000,0)</f>
        <v/>
      </c>
      <c r="E42" s="89">
        <f>IFERROR(E41/25459*1000,0)</f>
        <v/>
      </c>
      <c r="F42" s="89">
        <f>IFERROR(F41/24953*1000,0)</f>
        <v/>
      </c>
      <c r="G42" s="89">
        <f>IFERROR(G41/24953*1000,0)</f>
        <v/>
      </c>
      <c r="H42" s="89">
        <f>IFERROR(H41/25710*1000,0)</f>
        <v/>
      </c>
      <c r="I42" s="89">
        <f>IFERROR(I41/25484*1000,0)</f>
        <v/>
      </c>
      <c r="J42" s="89">
        <f>IFERROR(J41/25552*1000,0)</f>
        <v/>
      </c>
      <c r="K42" s="89">
        <f>IFERROR(K41/25962*1000,0)</f>
        <v/>
      </c>
    </row>
    <row r="43">
      <c r="A43" s="21" t="inlineStr">
        <is>
          <t>Memo: total as printed in ACFR Table 15</t>
        </is>
      </c>
      <c r="B43" s="87" t="n">
        <v>172.7</v>
      </c>
      <c r="C43" s="87" t="n">
        <v>177.7</v>
      </c>
      <c r="D43" s="87" t="n">
        <v>166.7</v>
      </c>
      <c r="E43" s="87" t="n">
        <v>174.7</v>
      </c>
      <c r="F43" s="87" t="n">
        <v>174.7</v>
      </c>
      <c r="G43" s="87" t="n">
        <v>174</v>
      </c>
      <c r="H43" s="87" t="n">
        <v>161.2</v>
      </c>
      <c r="I43" s="87" t="n">
        <v>168.3</v>
      </c>
      <c r="J43" s="87" t="n">
        <v>169.8</v>
      </c>
      <c r="K43" s="87" t="n">
        <v>169.8</v>
      </c>
    </row>
    <row r="44">
      <c r="A44" s="21" t="inlineStr">
        <is>
          <t>Difference (FY2017/FY2018 totals swapped in the ACFR)</t>
        </is>
      </c>
      <c r="B44" s="90">
        <f>B41-B43</f>
        <v/>
      </c>
      <c r="C44" s="90">
        <f>C41-C43</f>
        <v/>
      </c>
      <c r="D44" s="90">
        <f>D41-D43</f>
        <v/>
      </c>
      <c r="E44" s="90">
        <f>E41-E43</f>
        <v/>
      </c>
      <c r="F44" s="90">
        <f>F41-F43</f>
        <v/>
      </c>
      <c r="G44" s="90">
        <f>G41-G43</f>
        <v/>
      </c>
      <c r="H44" s="90">
        <f>H41-H43</f>
        <v/>
      </c>
      <c r="I44" s="90">
        <f>I41-I43</f>
        <v/>
      </c>
      <c r="J44" s="90">
        <f>J41-J43</f>
        <v/>
      </c>
      <c r="K44" s="90">
        <f>K41-K43</f>
        <v/>
      </c>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19" t="inlineStr">
        <is>
          <t>DIRECT AND OVERLAPPING PROPERTY TAX RATES, per $100 of assessed value (Table 7)</t>
        </is>
      </c>
      <c r="B47" s="20" t="n"/>
      <c r="C47" s="20" t="n"/>
      <c r="D47" s="20" t="n"/>
      <c r="E47" s="20" t="n"/>
      <c r="F47" s="20" t="n"/>
      <c r="G47" s="20" t="n"/>
      <c r="H47" s="20" t="n"/>
      <c r="I47" s="20" t="n"/>
      <c r="J47" s="20" t="n"/>
      <c r="K47" s="20" t="n"/>
    </row>
    <row r="48">
      <c r="A48" s="21" t="inlineStr">
        <is>
          <t>Total direct and overlapping rate</t>
        </is>
      </c>
      <c r="B48" s="91" t="n">
        <v>1.3128</v>
      </c>
      <c r="C48" s="91" t="n">
        <v>1.2864</v>
      </c>
      <c r="D48" s="91" t="n">
        <v>1.2627</v>
      </c>
      <c r="E48" s="91" t="n">
        <v>1.2591</v>
      </c>
      <c r="F48" s="91" t="n">
        <v>1.2781</v>
      </c>
      <c r="G48" s="91" t="n">
        <v>1.4146</v>
      </c>
      <c r="H48" s="91" t="n">
        <v>1.3195</v>
      </c>
      <c r="I48" s="91" t="n">
        <v>1.2924</v>
      </c>
      <c r="J48" s="91" t="n">
        <v>1.2801</v>
      </c>
      <c r="K48" s="91" t="n">
        <v>1.2792</v>
      </c>
    </row>
    <row r="49">
      <c r="A49" s="21" t="inlineStr">
        <is>
          <t>City direct rate (City's share of the 1% basic levy)</t>
        </is>
      </c>
      <c r="B49" s="91" t="n">
        <v>0.2267</v>
      </c>
      <c r="C49" s="91" t="n">
        <v>0.22642</v>
      </c>
      <c r="D49" s="91" t="n">
        <v>0.22619</v>
      </c>
      <c r="E49" s="91" t="n">
        <v>0.22601</v>
      </c>
      <c r="F49" s="91" t="n">
        <v>0.22586</v>
      </c>
      <c r="G49" s="91" t="n">
        <v>0.22562</v>
      </c>
      <c r="H49" s="91" t="n">
        <v>0.22551</v>
      </c>
      <c r="I49" s="91" t="n">
        <v>0.22325</v>
      </c>
      <c r="J49" s="91" t="n">
        <v>0.22319</v>
      </c>
      <c r="K49" s="91" t="n">
        <v>0.22319</v>
      </c>
    </row>
    <row r="50">
      <c r="A50" s="2" t="n"/>
      <c r="B50" s="2" t="n"/>
      <c r="C50" s="2" t="n"/>
      <c r="D50" s="2" t="n"/>
      <c r="E50" s="2" t="n"/>
      <c r="F50" s="2" t="n"/>
      <c r="G50" s="2" t="n"/>
      <c r="H50" s="2" t="n"/>
      <c r="I50" s="2" t="n"/>
      <c r="J50" s="2" t="n"/>
      <c r="K50" s="2" t="n"/>
    </row>
    <row r="51">
      <c r="A51" s="19" t="inlineStr">
        <is>
          <t>PRINCIPAL EMPLOYERS, FY2024-25 (Table 14; nine-years-ago data reported unavailable by the City)</t>
        </is>
      </c>
      <c r="B51" s="20" t="n"/>
      <c r="C51" s="20" t="n"/>
      <c r="D51" s="20" t="n"/>
      <c r="E51" s="20" t="n"/>
      <c r="F51" s="20" t="n"/>
      <c r="G51" s="20" t="n"/>
      <c r="H51" s="20" t="n"/>
      <c r="I51" s="20" t="n"/>
      <c r="J51" s="20" t="n"/>
      <c r="K51" s="20" t="n"/>
    </row>
    <row r="52">
      <c r="A52" s="12" t="inlineStr">
        <is>
          <t>Employer</t>
        </is>
      </c>
      <c r="B52" s="12" t="inlineStr">
        <is>
          <t>Employees</t>
        </is>
      </c>
      <c r="C52" s="12" t="inlineStr">
        <is>
          <t>% of labor force</t>
        </is>
      </c>
      <c r="D52" s="2" t="n"/>
      <c r="E52" s="2" t="n"/>
      <c r="F52" s="2" t="n"/>
      <c r="G52" s="2" t="n"/>
      <c r="H52" s="2" t="n"/>
      <c r="I52" s="2" t="n"/>
      <c r="J52" s="2" t="n"/>
      <c r="K52" s="2" t="n"/>
    </row>
    <row r="53">
      <c r="A53" s="13" t="inlineStr">
        <is>
          <t>City of El Cerrito</t>
        </is>
      </c>
      <c r="B53" s="80" t="n">
        <v>169</v>
      </c>
      <c r="C53" s="86">
        <f>B53/$B$68</f>
        <v/>
      </c>
      <c r="D53" s="2" t="n"/>
      <c r="E53" s="2" t="n"/>
      <c r="F53" s="2" t="n"/>
      <c r="G53" s="2" t="n"/>
      <c r="H53" s="2" t="n"/>
      <c r="I53" s="2" t="n"/>
      <c r="J53" s="2" t="n"/>
      <c r="K53" s="2" t="n"/>
    </row>
    <row r="54">
      <c r="A54" s="13" t="inlineStr">
        <is>
          <t>Safeway Store</t>
        </is>
      </c>
      <c r="B54" s="80" t="n">
        <v>141</v>
      </c>
      <c r="C54" s="86">
        <f>B54/$B$68</f>
        <v/>
      </c>
      <c r="D54" s="2" t="n"/>
      <c r="E54" s="2" t="n"/>
      <c r="F54" s="2" t="n"/>
      <c r="G54" s="2" t="n"/>
      <c r="H54" s="2" t="n"/>
      <c r="I54" s="2" t="n"/>
      <c r="J54" s="2" t="n"/>
      <c r="K54" s="2" t="n"/>
    </row>
    <row r="55">
      <c r="A55" s="13" t="inlineStr">
        <is>
          <t>Ross Dress for Less</t>
        </is>
      </c>
      <c r="B55" s="80" t="n">
        <v>95</v>
      </c>
      <c r="C55" s="86">
        <f>B55/$B$68</f>
        <v/>
      </c>
      <c r="D55" s="2" t="n"/>
      <c r="E55" s="2" t="n"/>
      <c r="F55" s="2" t="n"/>
      <c r="G55" s="2" t="n"/>
      <c r="H55" s="2" t="n"/>
      <c r="I55" s="2" t="n"/>
      <c r="J55" s="2" t="n"/>
      <c r="K55" s="2" t="n"/>
    </row>
    <row r="56">
      <c r="A56" s="13" t="inlineStr">
        <is>
          <t>Marshalls</t>
        </is>
      </c>
      <c r="B56" s="80" t="n">
        <v>92</v>
      </c>
      <c r="C56" s="86">
        <f>B56/$B$68</f>
        <v/>
      </c>
      <c r="D56" s="2" t="n"/>
      <c r="E56" s="2" t="n"/>
      <c r="F56" s="2" t="n"/>
      <c r="G56" s="2" t="n"/>
      <c r="H56" s="2" t="n"/>
      <c r="I56" s="2" t="n"/>
      <c r="J56" s="2" t="n"/>
      <c r="K56" s="2" t="n"/>
    </row>
    <row r="57">
      <c r="A57" s="13" t="inlineStr">
        <is>
          <t>El Cerrito Honda</t>
        </is>
      </c>
      <c r="B57" s="80" t="n">
        <v>73</v>
      </c>
      <c r="C57" s="86">
        <f>B57/$B$68</f>
        <v/>
      </c>
      <c r="D57" s="2" t="n"/>
      <c r="E57" s="2" t="n"/>
      <c r="F57" s="2" t="n"/>
      <c r="G57" s="2" t="n"/>
      <c r="H57" s="2" t="n"/>
      <c r="I57" s="2" t="n"/>
      <c r="J57" s="2" t="n"/>
      <c r="K57" s="2" t="n"/>
    </row>
    <row r="58">
      <c r="A58" s="13" t="inlineStr">
        <is>
          <t>Lucky's</t>
        </is>
      </c>
      <c r="B58" s="80" t="n">
        <v>70</v>
      </c>
      <c r="C58" s="86">
        <f>B58/$B$68</f>
        <v/>
      </c>
      <c r="D58" s="2" t="n"/>
      <c r="E58" s="2" t="n"/>
      <c r="F58" s="2" t="n"/>
      <c r="G58" s="2" t="n"/>
      <c r="H58" s="2" t="n"/>
      <c r="I58" s="2" t="n"/>
      <c r="J58" s="2" t="n"/>
      <c r="K58" s="2" t="n"/>
    </row>
    <row r="59">
      <c r="A59" s="13" t="inlineStr">
        <is>
          <t>FatApple's Restaurant</t>
        </is>
      </c>
      <c r="B59" s="80" t="n">
        <v>67</v>
      </c>
      <c r="C59" s="86">
        <f>B59/$B$68</f>
        <v/>
      </c>
      <c r="D59" s="2" t="n"/>
      <c r="E59" s="2" t="n"/>
      <c r="F59" s="2" t="n"/>
      <c r="G59" s="2" t="n"/>
      <c r="H59" s="2" t="n"/>
      <c r="I59" s="2" t="n"/>
      <c r="J59" s="2" t="n"/>
      <c r="K59" s="2" t="n"/>
    </row>
    <row r="60">
      <c r="A60" s="13" t="inlineStr">
        <is>
          <t>Berkeley Country Club</t>
        </is>
      </c>
      <c r="B60" s="80" t="n">
        <v>65</v>
      </c>
      <c r="C60" s="86">
        <f>B60/$B$68</f>
        <v/>
      </c>
      <c r="D60" s="2" t="n"/>
      <c r="E60" s="2" t="n"/>
      <c r="F60" s="2" t="n"/>
      <c r="G60" s="2" t="n"/>
      <c r="H60" s="2" t="n"/>
      <c r="I60" s="2" t="n"/>
      <c r="J60" s="2" t="n"/>
      <c r="K60" s="2" t="n"/>
    </row>
    <row r="61">
      <c r="A61" s="13" t="inlineStr">
        <is>
          <t>McDonalds</t>
        </is>
      </c>
      <c r="B61" s="80" t="n">
        <v>46</v>
      </c>
      <c r="C61" s="86">
        <f>B61/$B$68</f>
        <v/>
      </c>
      <c r="D61" s="2" t="n"/>
      <c r="E61" s="2" t="n"/>
      <c r="F61" s="2" t="n"/>
      <c r="G61" s="2" t="n"/>
      <c r="H61" s="2" t="n"/>
      <c r="I61" s="2" t="n"/>
      <c r="J61" s="2" t="n"/>
      <c r="K61" s="2" t="n"/>
    </row>
    <row r="62">
      <c r="A62" s="13" t="inlineStr">
        <is>
          <t>Shields Nursing Center</t>
        </is>
      </c>
      <c r="B62" s="80" t="n">
        <v>42</v>
      </c>
      <c r="C62" s="86">
        <f>B62/$B$68</f>
        <v/>
      </c>
      <c r="D62" s="2" t="n"/>
      <c r="E62" s="2" t="n"/>
      <c r="F62" s="2" t="n"/>
      <c r="G62" s="2" t="n"/>
      <c r="H62" s="2" t="n"/>
      <c r="I62" s="2" t="n"/>
      <c r="J62" s="2" t="n"/>
      <c r="K62" s="2" t="n"/>
    </row>
    <row r="63">
      <c r="A63" s="13" t="inlineStr">
        <is>
          <t>DD's Discounts</t>
        </is>
      </c>
      <c r="B63" s="80" t="n">
        <v>35</v>
      </c>
      <c r="C63" s="86">
        <f>B63/$B$68</f>
        <v/>
      </c>
      <c r="D63" s="2" t="n"/>
      <c r="E63" s="2" t="n"/>
      <c r="F63" s="2" t="n"/>
      <c r="G63" s="2" t="n"/>
      <c r="H63" s="2" t="n"/>
      <c r="I63" s="2" t="n"/>
      <c r="J63" s="2" t="n"/>
      <c r="K63" s="2" t="n"/>
    </row>
    <row r="64">
      <c r="A64" s="13" t="inlineStr">
        <is>
          <t>Jack In The Box</t>
        </is>
      </c>
      <c r="B64" s="80" t="n">
        <v>31</v>
      </c>
      <c r="C64" s="86">
        <f>B64/$B$68</f>
        <v/>
      </c>
      <c r="D64" s="2" t="n"/>
      <c r="E64" s="2" t="n"/>
      <c r="F64" s="2" t="n"/>
      <c r="G64" s="2" t="n"/>
      <c r="H64" s="2" t="n"/>
      <c r="I64" s="2" t="n"/>
      <c r="J64" s="2" t="n"/>
      <c r="K64" s="2" t="n"/>
    </row>
    <row r="65">
      <c r="A65" s="13" t="inlineStr">
        <is>
          <t>Denny's</t>
        </is>
      </c>
      <c r="B65" s="80" t="n">
        <v>28</v>
      </c>
      <c r="C65" s="86">
        <f>B65/$B$68</f>
        <v/>
      </c>
      <c r="D65" s="2" t="n"/>
      <c r="E65" s="2" t="n"/>
      <c r="F65" s="2" t="n"/>
      <c r="G65" s="2" t="n"/>
      <c r="H65" s="2" t="n"/>
      <c r="I65" s="2" t="n"/>
      <c r="J65" s="2" t="n"/>
      <c r="K65" s="2" t="n"/>
    </row>
    <row r="66">
      <c r="A66" s="13" t="inlineStr">
        <is>
          <t>CVS/Pharmacy</t>
        </is>
      </c>
      <c r="B66" s="80" t="n">
        <v>24</v>
      </c>
      <c r="C66" s="86">
        <f>B66/$B$68</f>
        <v/>
      </c>
      <c r="D66" s="2" t="n"/>
      <c r="E66" s="2" t="n"/>
      <c r="F66" s="2" t="n"/>
      <c r="G66" s="2" t="n"/>
      <c r="H66" s="2" t="n"/>
      <c r="I66" s="2" t="n"/>
      <c r="J66" s="2" t="n"/>
      <c r="K66" s="2" t="n"/>
    </row>
    <row r="67">
      <c r="A67" s="12" t="inlineStr">
        <is>
          <t>Total, principal employers</t>
        </is>
      </c>
      <c r="B67" s="92">
        <f>SUM(B53:B66)</f>
        <v/>
      </c>
      <c r="C67" s="86">
        <f>B67/$B$68</f>
        <v/>
      </c>
      <c r="D67" s="2" t="n"/>
      <c r="E67" s="2" t="n"/>
      <c r="F67" s="2" t="n"/>
      <c r="G67" s="2" t="n"/>
      <c r="H67" s="2" t="n"/>
      <c r="I67" s="2" t="n"/>
      <c r="J67" s="2" t="n"/>
      <c r="K67" s="2" t="n"/>
    </row>
    <row r="68">
      <c r="A68" s="13" t="inlineStr">
        <is>
          <t>City labor force (EDD)</t>
        </is>
      </c>
      <c r="B68" s="80" t="n">
        <v>14200</v>
      </c>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19" t="inlineStr">
        <is>
          <t>OPERATING INDICATORS BY FUNCTION (Table 16; FY2025 not yet published in that table)</t>
        </is>
      </c>
      <c r="B70" s="20" t="n"/>
      <c r="C70" s="20" t="n"/>
      <c r="D70" s="20" t="n"/>
      <c r="E70" s="20" t="n"/>
      <c r="F70" s="20" t="n"/>
      <c r="G70" s="20" t="n"/>
      <c r="H70" s="20" t="n"/>
      <c r="I70" s="20" t="n"/>
      <c r="J70" s="20" t="n"/>
      <c r="K70" s="20" t="n"/>
    </row>
    <row r="71">
      <c r="A71" s="21" t="inlineStr">
        <is>
          <t>Planning permits</t>
        </is>
      </c>
      <c r="B71" s="80" t="n">
        <v>174</v>
      </c>
      <c r="C71" s="80" t="n">
        <v>187</v>
      </c>
      <c r="D71" s="80" t="n">
        <v>183</v>
      </c>
      <c r="E71" s="80" t="n">
        <v>164</v>
      </c>
      <c r="F71" s="80" t="n">
        <v>160</v>
      </c>
      <c r="G71" s="80" t="n">
        <v>167</v>
      </c>
      <c r="H71" s="80" t="n">
        <v>123</v>
      </c>
      <c r="I71" s="80" t="n">
        <v>124</v>
      </c>
      <c r="J71" s="80" t="n">
        <v>159</v>
      </c>
      <c r="K71" s="80" t="inlineStr"/>
    </row>
    <row r="72">
      <c r="A72" s="21" t="inlineStr">
        <is>
          <t>Building permits issued</t>
        </is>
      </c>
      <c r="B72" s="80" t="n">
        <v>1167</v>
      </c>
      <c r="C72" s="80" t="n">
        <v>1304</v>
      </c>
      <c r="D72" s="80" t="n">
        <v>1263</v>
      </c>
      <c r="E72" s="80" t="n">
        <v>1126</v>
      </c>
      <c r="F72" s="80" t="n">
        <v>1204</v>
      </c>
      <c r="G72" s="80" t="n">
        <v>1580</v>
      </c>
      <c r="H72" s="80" t="n">
        <v>1271</v>
      </c>
      <c r="I72" s="80" t="n">
        <v>1284</v>
      </c>
      <c r="J72" s="80" t="n">
        <v>1346</v>
      </c>
      <c r="K72" s="80" t="inlineStr"/>
    </row>
    <row r="73">
      <c r="A73" s="21" t="inlineStr">
        <is>
          <t>Building inspections</t>
        </is>
      </c>
      <c r="B73" s="80" t="n">
        <v>8959</v>
      </c>
      <c r="C73" s="80" t="n">
        <v>8715</v>
      </c>
      <c r="D73" s="80" t="n">
        <v>7918</v>
      </c>
      <c r="E73" s="80" t="n">
        <v>8080</v>
      </c>
      <c r="F73" s="80" t="n">
        <v>6288</v>
      </c>
      <c r="G73" s="80" t="n">
        <v>7373</v>
      </c>
      <c r="H73" s="80" t="n">
        <v>7097</v>
      </c>
      <c r="I73" s="80" t="n">
        <v>5261</v>
      </c>
      <c r="J73" s="80" t="n">
        <v>5266</v>
      </c>
      <c r="K73" s="80" t="inlineStr"/>
    </row>
    <row r="74">
      <c r="A74" s="21" t="inlineStr">
        <is>
          <t>Fire responses</t>
        </is>
      </c>
      <c r="B74" s="80" t="n">
        <v>3451</v>
      </c>
      <c r="C74" s="80" t="n">
        <v>3553</v>
      </c>
      <c r="D74" s="80" t="n">
        <v>3516</v>
      </c>
      <c r="E74" s="80" t="n">
        <v>3620</v>
      </c>
      <c r="F74" s="80" t="n">
        <v>3762</v>
      </c>
      <c r="G74" s="80" t="n">
        <v>4189</v>
      </c>
      <c r="H74" s="80" t="n">
        <v>4695</v>
      </c>
      <c r="I74" s="80" t="n">
        <v>4458</v>
      </c>
      <c r="J74" s="80" t="n">
        <v>3496</v>
      </c>
      <c r="K74" s="80" t="inlineStr"/>
    </row>
    <row r="75">
      <c r="A75" s="21" t="inlineStr">
        <is>
          <t>Police responses</t>
        </is>
      </c>
      <c r="B75" s="80" t="n">
        <v>25834</v>
      </c>
      <c r="C75" s="80" t="n">
        <v>26011</v>
      </c>
      <c r="D75" s="80" t="n">
        <v>26810</v>
      </c>
      <c r="E75" s="80" t="n">
        <v>22962</v>
      </c>
      <c r="F75" s="80" t="n">
        <v>24886</v>
      </c>
      <c r="G75" s="80" t="n">
        <v>18452</v>
      </c>
      <c r="H75" s="80" t="n">
        <v>18276</v>
      </c>
      <c r="I75" s="80" t="n">
        <v>23647</v>
      </c>
      <c r="J75" s="80" t="n">
        <v>25408</v>
      </c>
      <c r="K75" s="80" t="inlineStr"/>
    </row>
    <row r="76">
      <c r="A76" s="21" t="inlineStr">
        <is>
          <t>Youth recreation enrollments (by session)</t>
        </is>
      </c>
      <c r="B76" s="80" t="n">
        <v>11504</v>
      </c>
      <c r="C76" s="80" t="n">
        <v>13821</v>
      </c>
      <c r="D76" s="80" t="n">
        <v>14329</v>
      </c>
      <c r="E76" s="80" t="n">
        <v>9535</v>
      </c>
      <c r="F76" s="80" t="n">
        <v>7994</v>
      </c>
      <c r="G76" s="80" t="n">
        <v>7818</v>
      </c>
      <c r="H76" s="80" t="n">
        <v>9980</v>
      </c>
      <c r="I76" s="80" t="n">
        <v>11198</v>
      </c>
      <c r="J76" s="80" t="n">
        <v>15316</v>
      </c>
      <c r="K76" s="80" t="inlineStr"/>
    </row>
    <row r="77">
      <c r="A77" s="21" t="inlineStr">
        <is>
          <t>Aquatics pass visits</t>
        </is>
      </c>
      <c r="B77" s="80" t="n">
        <v>34452</v>
      </c>
      <c r="C77" s="80" t="n">
        <v>26596</v>
      </c>
      <c r="D77" s="80" t="n">
        <v>31118</v>
      </c>
      <c r="E77" s="80" t="n">
        <v>23269</v>
      </c>
      <c r="F77" s="80" t="n">
        <v>0</v>
      </c>
      <c r="G77" s="80" t="n">
        <v>45666</v>
      </c>
      <c r="H77" s="80" t="n">
        <v>42774</v>
      </c>
      <c r="I77" s="80" t="n">
        <v>45821</v>
      </c>
      <c r="J77" s="80" t="n">
        <v>48917</v>
      </c>
      <c r="K77" s="80" t="inlineStr"/>
    </row>
    <row r="78">
      <c r="A78" s="21" t="inlineStr">
        <is>
          <t>Community Center reservations</t>
        </is>
      </c>
      <c r="B78" s="80" t="n">
        <v>2947</v>
      </c>
      <c r="C78" s="80" t="n">
        <v>2928</v>
      </c>
      <c r="D78" s="80" t="n">
        <v>3012</v>
      </c>
      <c r="E78" s="80" t="n">
        <v>2444</v>
      </c>
      <c r="F78" s="80" t="n">
        <v>639</v>
      </c>
      <c r="G78" s="80" t="n">
        <v>2290</v>
      </c>
      <c r="H78" s="80" t="n">
        <v>3355</v>
      </c>
      <c r="I78" s="80" t="n">
        <v>5572</v>
      </c>
      <c r="J78" s="80" t="n">
        <v>4128</v>
      </c>
      <c r="K78" s="80" t="inlineStr"/>
    </row>
    <row r="79">
      <c r="A79" s="21" t="inlineStr">
        <is>
          <t>Police responses per 1,000 residents</t>
        </is>
      </c>
      <c r="B79" s="81">
        <f>IFERROR(B75/24954*1000,0)</f>
        <v/>
      </c>
      <c r="C79" s="81">
        <f>IFERROR(C75/24600*1000,0)</f>
        <v/>
      </c>
      <c r="D79" s="81">
        <f>IFERROR(D75/24646*1000,0)</f>
        <v/>
      </c>
      <c r="E79" s="81">
        <f>IFERROR(E75/25459*1000,0)</f>
        <v/>
      </c>
      <c r="F79" s="81">
        <f>IFERROR(F75/24953*1000,0)</f>
        <v/>
      </c>
      <c r="G79" s="81">
        <f>IFERROR(G75/24953*1000,0)</f>
        <v/>
      </c>
      <c r="H79" s="81">
        <f>IFERROR(H75/25710*1000,0)</f>
        <v/>
      </c>
      <c r="I79" s="81">
        <f>IFERROR(I75/25484*1000,0)</f>
        <v/>
      </c>
      <c r="J79" s="81">
        <f>IFERROR(J75/25552*1000,0)</f>
        <v/>
      </c>
      <c r="K79" s="81" t="inlineStr"/>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375623"/>
    <outlinePr summaryBelow="1" summaryRight="1"/>
    <pageSetUpPr/>
  </sheetPr>
  <dimension ref="A1:K4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City of El Cerrito - STATISTICAL SCHEDULES: DEBT CAPACITY (GASB 44)</t>
        </is>
      </c>
      <c r="B1" s="2" t="n"/>
      <c r="C1" s="2" t="n"/>
      <c r="D1" s="2" t="n"/>
      <c r="E1" s="2" t="n"/>
      <c r="F1" s="2" t="n"/>
      <c r="G1" s="2" t="n"/>
      <c r="H1" s="2" t="n"/>
      <c r="I1" s="2" t="n"/>
      <c r="J1" s="2" t="n"/>
      <c r="K1" s="2" t="n"/>
    </row>
    <row r="2">
      <c r="A2" s="12" t="inlineStr">
        <is>
          <t>Pledged-revenue coverage, legal debt margin, direct and overlapping debt</t>
        </is>
      </c>
      <c r="B2" s="2" t="n"/>
      <c r="C2" s="2" t="n"/>
      <c r="D2" s="2" t="n"/>
      <c r="E2" s="2" t="n"/>
      <c r="F2" s="2" t="n"/>
      <c r="G2" s="2" t="n"/>
      <c r="H2" s="2" t="n"/>
      <c r="I2" s="2" t="n"/>
      <c r="J2" s="2" t="n"/>
      <c r="K2" s="2" t="n"/>
    </row>
    <row r="3">
      <c r="A3" s="7" t="inlineStr">
        <is>
          <t>Source: FY2025 ACFR Statistical Tables 9, 11 and 12. Debt-by-type ratios are on Stat_Trends.</t>
        </is>
      </c>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2" t="n"/>
      <c r="B5" s="2" t="n"/>
      <c r="C5" s="2" t="n"/>
      <c r="D5" s="2" t="n"/>
      <c r="E5" s="2" t="n"/>
      <c r="F5" s="2" t="n"/>
      <c r="G5" s="2" t="n"/>
      <c r="H5" s="2" t="n"/>
      <c r="I5" s="2" t="n"/>
      <c r="J5" s="2" t="n"/>
      <c r="K5" s="2" t="n"/>
    </row>
    <row r="6">
      <c r="A6" s="66" t="inlineStr">
        <is>
          <t>Fiscal year ended June 30</t>
        </is>
      </c>
      <c r="B6" s="67" t="n">
        <v>2016</v>
      </c>
      <c r="C6" s="67" t="n">
        <v>2017</v>
      </c>
      <c r="D6" s="67" t="n">
        <v>2018</v>
      </c>
      <c r="E6" s="67" t="n">
        <v>2019</v>
      </c>
      <c r="F6" s="67" t="n">
        <v>2020</v>
      </c>
      <c r="G6" s="67" t="n">
        <v>2021</v>
      </c>
      <c r="H6" s="67" t="n">
        <v>2022</v>
      </c>
      <c r="I6" s="67" t="n">
        <v>2023</v>
      </c>
      <c r="J6" s="67" t="n">
        <v>2024</v>
      </c>
      <c r="K6" s="67" t="n">
        <v>2025</v>
      </c>
    </row>
    <row r="7">
      <c r="A7" s="19" t="inlineStr">
        <is>
          <t>PLEDGED-REVENUE COVERAGE (Table 9)</t>
        </is>
      </c>
      <c r="B7" s="20" t="n"/>
      <c r="C7" s="20" t="n"/>
      <c r="D7" s="20" t="n"/>
      <c r="E7" s="20" t="n"/>
      <c r="F7" s="20" t="n"/>
      <c r="G7" s="20" t="n"/>
      <c r="H7" s="20" t="n"/>
      <c r="I7" s="20" t="n"/>
      <c r="J7" s="20" t="n"/>
      <c r="K7" s="20" t="n"/>
    </row>
    <row r="8">
      <c r="A8" s="12" t="inlineStr">
        <is>
          <t>Lease revenue bonds (Measure A parcel tax; paid off FY2021)</t>
        </is>
      </c>
      <c r="B8" s="2" t="n"/>
      <c r="C8" s="2" t="n"/>
      <c r="D8" s="2" t="n"/>
      <c r="E8" s="2" t="n"/>
      <c r="F8" s="2" t="n"/>
      <c r="G8" s="2" t="n"/>
      <c r="H8" s="2" t="n"/>
      <c r="I8" s="2" t="n"/>
      <c r="J8" s="2" t="n"/>
      <c r="K8" s="2" t="n"/>
    </row>
    <row r="9">
      <c r="A9" s="26" t="inlineStr">
        <is>
          <t>Pledged revenue</t>
        </is>
      </c>
      <c r="B9" s="29" t="n">
        <v>668220</v>
      </c>
      <c r="C9" s="29" t="n">
        <v>667971</v>
      </c>
      <c r="D9" s="29" t="n">
        <v>654469</v>
      </c>
      <c r="E9" s="29" t="n">
        <v>633080</v>
      </c>
      <c r="F9" s="29" t="n">
        <v>646806</v>
      </c>
      <c r="G9" s="29" t="n">
        <v>0</v>
      </c>
      <c r="H9" s="29" t="inlineStr"/>
      <c r="I9" s="29" t="inlineStr"/>
      <c r="J9" s="29" t="inlineStr"/>
      <c r="K9" s="29" t="inlineStr"/>
    </row>
    <row r="10">
      <c r="A10" s="26" t="inlineStr">
        <is>
          <t>Debt service (principal + interest)</t>
        </is>
      </c>
      <c r="B10" s="29" t="n">
        <v>361840</v>
      </c>
      <c r="C10" s="29" t="n">
        <v>359467</v>
      </c>
      <c r="D10" s="29" t="n">
        <v>361370</v>
      </c>
      <c r="E10" s="29" t="n">
        <v>357364</v>
      </c>
      <c r="F10" s="29" t="n">
        <v>357464</v>
      </c>
      <c r="G10" s="29" t="n">
        <v>187015</v>
      </c>
      <c r="H10" s="29" t="inlineStr"/>
      <c r="I10" s="29" t="inlineStr"/>
      <c r="J10" s="29" t="inlineStr"/>
      <c r="K10" s="29" t="inlineStr"/>
    </row>
    <row r="11">
      <c r="A11" s="26" t="inlineStr">
        <is>
          <t>Coverage (x)</t>
        </is>
      </c>
      <c r="B11" s="71">
        <f>IFERROR(B9/B10,0)</f>
        <v/>
      </c>
      <c r="C11" s="71">
        <f>IFERROR(C9/C10,0)</f>
        <v/>
      </c>
      <c r="D11" s="71">
        <f>IFERROR(D9/D10,0)</f>
        <v/>
      </c>
      <c r="E11" s="71">
        <f>IFERROR(E9/E10,0)</f>
        <v/>
      </c>
      <c r="F11" s="71">
        <f>IFERROR(F9/F10,0)</f>
        <v/>
      </c>
      <c r="G11" s="71">
        <f>IFERROR(G9/G10,0)</f>
        <v/>
      </c>
      <c r="H11" s="71" t="inlineStr"/>
      <c r="I11" s="71" t="inlineStr"/>
      <c r="J11" s="71" t="inlineStr"/>
      <c r="K11" s="71" t="inlineStr"/>
    </row>
    <row r="12">
      <c r="A12" s="12" t="inlineStr">
        <is>
          <t>Sales tax revenue bonds (Street Improvement Fund)</t>
        </is>
      </c>
      <c r="B12" s="2" t="n"/>
      <c r="C12" s="2" t="n"/>
      <c r="D12" s="2" t="n"/>
      <c r="E12" s="2" t="n"/>
      <c r="F12" s="2" t="n"/>
      <c r="G12" s="2" t="n"/>
      <c r="H12" s="2" t="n"/>
      <c r="I12" s="2" t="n"/>
      <c r="J12" s="2" t="n"/>
      <c r="K12" s="2" t="n"/>
    </row>
    <row r="13">
      <c r="A13" s="26" t="inlineStr">
        <is>
          <t>Pledged revenue</t>
        </is>
      </c>
      <c r="B13" s="29" t="n">
        <v>1800599</v>
      </c>
      <c r="C13" s="29" t="n">
        <v>1428094</v>
      </c>
      <c r="D13" s="29" t="n">
        <v>1590085</v>
      </c>
      <c r="E13" s="29" t="n">
        <v>1630826</v>
      </c>
      <c r="F13" s="29" t="n">
        <v>1631894</v>
      </c>
      <c r="G13" s="29" t="n">
        <v>1881749</v>
      </c>
      <c r="H13" s="29" t="n">
        <v>1809481</v>
      </c>
      <c r="I13" s="29" t="n">
        <v>2316365</v>
      </c>
      <c r="J13" s="29" t="n">
        <v>2154278</v>
      </c>
      <c r="K13" s="29" t="n">
        <v>2154856</v>
      </c>
    </row>
    <row r="14">
      <c r="A14" s="26" t="inlineStr">
        <is>
          <t>Debt service (principal + interest)</t>
        </is>
      </c>
      <c r="B14" s="29" t="n">
        <v>737228</v>
      </c>
      <c r="C14" s="29" t="n">
        <v>737078</v>
      </c>
      <c r="D14" s="29" t="n">
        <v>700700</v>
      </c>
      <c r="E14" s="29" t="n">
        <v>704400</v>
      </c>
      <c r="F14" s="29" t="n">
        <v>702900</v>
      </c>
      <c r="G14" s="29" t="n">
        <v>706300</v>
      </c>
      <c r="H14" s="29" t="n">
        <v>706099</v>
      </c>
      <c r="I14" s="29" t="n">
        <v>702100</v>
      </c>
      <c r="J14" s="29" t="n">
        <v>707700</v>
      </c>
      <c r="K14" s="29" t="n">
        <v>702500</v>
      </c>
    </row>
    <row r="15">
      <c r="A15" s="26" t="inlineStr">
        <is>
          <t>Coverage (x)</t>
        </is>
      </c>
      <c r="B15" s="71">
        <f>IFERROR(B13/B14,0)</f>
        <v/>
      </c>
      <c r="C15" s="71">
        <f>IFERROR(C13/C14,0)</f>
        <v/>
      </c>
      <c r="D15" s="71">
        <f>IFERROR(D13/D14,0)</f>
        <v/>
      </c>
      <c r="E15" s="71">
        <f>IFERROR(E13/E14,0)</f>
        <v/>
      </c>
      <c r="F15" s="71">
        <f>IFERROR(F13/F14,0)</f>
        <v/>
      </c>
      <c r="G15" s="71">
        <f>IFERROR(G13/G14,0)</f>
        <v/>
      </c>
      <c r="H15" s="71">
        <f>IFERROR(H13/H14,0)</f>
        <v/>
      </c>
      <c r="I15" s="71">
        <f>IFERROR(I13/I14,0)</f>
        <v/>
      </c>
      <c r="J15" s="71">
        <f>IFERROR(J13/J14,0)</f>
        <v/>
      </c>
      <c r="K15" s="71">
        <f>IFERROR(K13/K14,0)</f>
        <v/>
      </c>
    </row>
    <row r="16">
      <c r="A16" s="12" t="inlineStr">
        <is>
          <t>Tax allocation bonds (Successor Agency, tax increment)</t>
        </is>
      </c>
      <c r="B16" s="2" t="n"/>
      <c r="C16" s="2" t="n"/>
      <c r="D16" s="2" t="n"/>
      <c r="E16" s="2" t="n"/>
      <c r="F16" s="2" t="n"/>
      <c r="G16" s="2" t="n"/>
      <c r="H16" s="2" t="n"/>
      <c r="I16" s="2" t="n"/>
      <c r="J16" s="2" t="n"/>
      <c r="K16" s="2" t="n"/>
    </row>
    <row r="17">
      <c r="A17" s="26" t="inlineStr">
        <is>
          <t>Pledged revenue</t>
        </is>
      </c>
      <c r="B17" s="29" t="n">
        <v>2195420</v>
      </c>
      <c r="C17" s="29" t="n">
        <v>788216</v>
      </c>
      <c r="D17" s="29" t="n">
        <v>788216</v>
      </c>
      <c r="E17" s="29" t="n">
        <v>2138127</v>
      </c>
      <c r="F17" s="29" t="n">
        <v>2554468</v>
      </c>
      <c r="G17" s="29" t="n">
        <v>2382794</v>
      </c>
      <c r="H17" s="29" t="n">
        <v>2094578</v>
      </c>
      <c r="I17" s="29" t="n">
        <v>2132794</v>
      </c>
      <c r="J17" s="29" t="n">
        <v>2376718</v>
      </c>
      <c r="K17" s="29" t="n">
        <v>2344294</v>
      </c>
    </row>
    <row r="18">
      <c r="A18" s="26" t="inlineStr">
        <is>
          <t>Debt service (principal + interest)</t>
        </is>
      </c>
      <c r="B18" s="29" t="n">
        <v>2095676</v>
      </c>
      <c r="C18" s="29" t="n">
        <v>1582705</v>
      </c>
      <c r="D18" s="29" t="n">
        <v>0</v>
      </c>
      <c r="E18" s="29" t="n">
        <v>856584</v>
      </c>
      <c r="F18" s="29" t="n">
        <v>1880351</v>
      </c>
      <c r="G18" s="29" t="n">
        <v>2060624</v>
      </c>
      <c r="H18" s="29" t="n">
        <v>2107840</v>
      </c>
      <c r="I18" s="29" t="n">
        <v>2144183</v>
      </c>
      <c r="J18" s="29" t="n">
        <v>2127390</v>
      </c>
      <c r="K18" s="29" t="n">
        <v>2131564</v>
      </c>
    </row>
    <row r="19">
      <c r="A19" s="26" t="inlineStr">
        <is>
          <t>Coverage (x)</t>
        </is>
      </c>
      <c r="B19" s="71">
        <f>IFERROR(B17/B18,0)</f>
        <v/>
      </c>
      <c r="C19" s="71">
        <f>IFERROR(C17/C18,0)</f>
        <v/>
      </c>
      <c r="D19" s="71">
        <f>IFERROR(D17/D18,0)</f>
        <v/>
      </c>
      <c r="E19" s="71">
        <f>IFERROR(E17/E18,0)</f>
        <v/>
      </c>
      <c r="F19" s="71">
        <f>IFERROR(F17/F18,0)</f>
        <v/>
      </c>
      <c r="G19" s="71">
        <f>IFERROR(G17/G18,0)</f>
        <v/>
      </c>
      <c r="H19" s="71">
        <f>IFERROR(H17/H18,0)</f>
        <v/>
      </c>
      <c r="I19" s="71">
        <f>IFERROR(I17/I18,0)</f>
        <v/>
      </c>
      <c r="J19" s="71">
        <f>IFERROR(J17/J18,0)</f>
        <v/>
      </c>
      <c r="K19" s="71">
        <f>IFERROR(K17/K18,0)</f>
        <v/>
      </c>
    </row>
    <row r="20">
      <c r="A20" s="7" t="inlineStr">
        <is>
          <t>- Table 9 also lists 2022-2025 debt service of about $575,000 a year on the lease revenue bonds with no pledged revenue; the note says those bonds were paid off in FY2021, so those later lines appear to belong to a successor obligation - omitted here.</t>
        </is>
      </c>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19" t="inlineStr">
        <is>
          <t>LEGAL BONDED DEBT MARGIN (Table 11)</t>
        </is>
      </c>
      <c r="B22" s="20" t="n"/>
      <c r="C22" s="20" t="n"/>
      <c r="D22" s="20" t="n"/>
      <c r="E22" s="20" t="n"/>
      <c r="F22" s="20" t="n"/>
      <c r="G22" s="20" t="n"/>
      <c r="H22" s="20" t="n"/>
      <c r="I22" s="20" t="n"/>
      <c r="J22" s="20" t="n"/>
      <c r="K22" s="20" t="n"/>
    </row>
    <row r="23">
      <c r="A23" s="21" t="inlineStr">
        <is>
          <t>Net assessed value</t>
        </is>
      </c>
      <c r="B23" s="36">
        <f>Stat_Revenue_Operating!B10</f>
        <v/>
      </c>
      <c r="C23" s="36">
        <f>Stat_Revenue_Operating!C10</f>
        <v/>
      </c>
      <c r="D23" s="36">
        <f>Stat_Revenue_Operating!D10</f>
        <v/>
      </c>
      <c r="E23" s="36">
        <f>Stat_Revenue_Operating!E10</f>
        <v/>
      </c>
      <c r="F23" s="36">
        <f>Stat_Revenue_Operating!F10</f>
        <v/>
      </c>
      <c r="G23" s="36">
        <f>Stat_Revenue_Operating!G10</f>
        <v/>
      </c>
      <c r="H23" s="36">
        <f>Stat_Revenue_Operating!H10</f>
        <v/>
      </c>
      <c r="I23" s="36">
        <f>Stat_Revenue_Operating!I10</f>
        <v/>
      </c>
      <c r="J23" s="36">
        <f>Stat_Revenue_Operating!J10</f>
        <v/>
      </c>
      <c r="K23" s="36">
        <f>Stat_Revenue_Operating!K10</f>
        <v/>
      </c>
    </row>
    <row r="24">
      <c r="A24" s="21" t="inlineStr">
        <is>
          <t>Debt limit (3.75% of assessed value)</t>
        </is>
      </c>
      <c r="B24" s="22">
        <f>B23*0.0375</f>
        <v/>
      </c>
      <c r="C24" s="22">
        <f>C23*0.0375</f>
        <v/>
      </c>
      <c r="D24" s="22">
        <f>D23*0.0375</f>
        <v/>
      </c>
      <c r="E24" s="22">
        <f>E23*0.0375</f>
        <v/>
      </c>
      <c r="F24" s="22">
        <f>F23*0.0375</f>
        <v/>
      </c>
      <c r="G24" s="22">
        <f>G23*0.0375</f>
        <v/>
      </c>
      <c r="H24" s="22">
        <f>H23*0.0375</f>
        <v/>
      </c>
      <c r="I24" s="22">
        <f>I23*0.0375</f>
        <v/>
      </c>
      <c r="J24" s="22">
        <f>J23*0.0375</f>
        <v/>
      </c>
      <c r="K24" s="22">
        <f>K23*0.0375</f>
        <v/>
      </c>
    </row>
    <row r="25">
      <c r="A25" s="21" t="inlineStr">
        <is>
          <t>Debt applicable to the limit</t>
        </is>
      </c>
      <c r="B25" s="29" t="n">
        <v>0</v>
      </c>
      <c r="C25" s="29" t="n">
        <v>0</v>
      </c>
      <c r="D25" s="29" t="n">
        <v>0</v>
      </c>
      <c r="E25" s="29" t="n">
        <v>0</v>
      </c>
      <c r="F25" s="29" t="n">
        <v>0</v>
      </c>
      <c r="G25" s="29" t="n">
        <v>0</v>
      </c>
      <c r="H25" s="29" t="n">
        <v>0</v>
      </c>
      <c r="I25" s="29" t="n">
        <v>0</v>
      </c>
      <c r="J25" s="29" t="n">
        <v>0</v>
      </c>
      <c r="K25" s="29" t="n">
        <v>0</v>
      </c>
    </row>
    <row r="26">
      <c r="A26" s="73" t="inlineStr">
        <is>
          <t>Legal debt margin</t>
        </is>
      </c>
      <c r="B26" s="27">
        <f>B24-B25</f>
        <v/>
      </c>
      <c r="C26" s="27">
        <f>C24-C25</f>
        <v/>
      </c>
      <c r="D26" s="27">
        <f>D24-D25</f>
        <v/>
      </c>
      <c r="E26" s="27">
        <f>E24-E25</f>
        <v/>
      </c>
      <c r="F26" s="27">
        <f>F24-F25</f>
        <v/>
      </c>
      <c r="G26" s="27">
        <f>G24-G25</f>
        <v/>
      </c>
      <c r="H26" s="27">
        <f>H24-H25</f>
        <v/>
      </c>
      <c r="I26" s="27">
        <f>I24-I25</f>
        <v/>
      </c>
      <c r="J26" s="27">
        <f>J24-J25</f>
        <v/>
      </c>
      <c r="K26" s="27">
        <f>K24-K25</f>
        <v/>
      </c>
    </row>
    <row r="27">
      <c r="A27" s="7" t="inlineStr">
        <is>
          <t>- Debt limit 3.75% of assessed value (Gov. Code 43605, adjusted to full value). No City debt is subject to the limit. The ACFR's printed 'legal debt margin' column is shifted one year; margin is recomputed here as limit less applicable debt.</t>
        </is>
      </c>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19" t="inlineStr">
        <is>
          <t>DIRECT AND OVERLAPPING DEBT, as of June 30, 2024 (Table 12)</t>
        </is>
      </c>
      <c r="B29" s="20" t="n"/>
      <c r="C29" s="20" t="n"/>
      <c r="D29" s="20" t="n"/>
      <c r="E29" s="20" t="n"/>
      <c r="F29" s="20" t="n"/>
      <c r="G29" s="20" t="n"/>
      <c r="H29" s="20" t="n"/>
      <c r="I29" s="20" t="n"/>
      <c r="J29" s="20" t="n"/>
      <c r="K29" s="20" t="n"/>
    </row>
    <row r="30">
      <c r="A30" s="12" t="inlineStr">
        <is>
          <t>Issuer</t>
        </is>
      </c>
      <c r="B30" s="12" t="inlineStr">
        <is>
          <t>% applicable to El Cerrito</t>
        </is>
      </c>
      <c r="C30" s="12" t="inlineStr">
        <is>
          <t>Issuer's total debt</t>
        </is>
      </c>
      <c r="D30" s="12" t="inlineStr">
        <is>
          <t>El Cerrito share</t>
        </is>
      </c>
      <c r="E30" s="2" t="n"/>
      <c r="F30" s="2" t="n"/>
      <c r="G30" s="2" t="n"/>
      <c r="H30" s="2" t="n"/>
      <c r="I30" s="2" t="n"/>
      <c r="J30" s="2" t="n"/>
      <c r="K30" s="2" t="n"/>
    </row>
    <row r="31">
      <c r="A31" s="13" t="inlineStr">
        <is>
          <t>Bay Area Rapid Transit District</t>
        </is>
      </c>
      <c r="B31" s="93" t="n">
        <v>0.0058</v>
      </c>
      <c r="C31" s="29" t="n">
        <v>2391260000</v>
      </c>
      <c r="D31" s="29" t="n">
        <v>13869308</v>
      </c>
      <c r="E31" s="2" t="n"/>
      <c r="F31" s="2" t="n"/>
      <c r="G31" s="2" t="n"/>
      <c r="H31" s="2" t="n"/>
      <c r="I31" s="2" t="n"/>
      <c r="J31" s="2" t="n"/>
      <c r="K31" s="2" t="n"/>
    </row>
    <row r="32">
      <c r="A32" s="13" t="inlineStr">
        <is>
          <t>Contra Costa Community College District</t>
        </is>
      </c>
      <c r="B32" s="93" t="n">
        <v>0.02181</v>
      </c>
      <c r="C32" s="29" t="n">
        <v>591875000</v>
      </c>
      <c r="D32" s="29" t="n">
        <v>12908794</v>
      </c>
      <c r="E32" s="2" t="n"/>
      <c r="F32" s="2" t="n"/>
      <c r="G32" s="2" t="n"/>
      <c r="H32" s="2" t="n"/>
      <c r="I32" s="2" t="n"/>
      <c r="J32" s="2" t="n"/>
      <c r="K32" s="2" t="n"/>
    </row>
    <row r="33">
      <c r="A33" s="13" t="inlineStr">
        <is>
          <t>West Contra Costa Unified School District</t>
        </is>
      </c>
      <c r="B33" s="93" t="n">
        <v>0.14068</v>
      </c>
      <c r="C33" s="29" t="n">
        <v>1279679975</v>
      </c>
      <c r="D33" s="29" t="n">
        <v>180025379</v>
      </c>
      <c r="E33" s="2" t="n"/>
      <c r="F33" s="2" t="n"/>
      <c r="G33" s="2" t="n"/>
      <c r="H33" s="2" t="n"/>
      <c r="I33" s="2" t="n"/>
      <c r="J33" s="2" t="n"/>
      <c r="K33" s="2" t="n"/>
    </row>
    <row r="34">
      <c r="A34" s="13" t="inlineStr">
        <is>
          <t>East Bay Regional Park District</t>
        </is>
      </c>
      <c r="B34" s="93" t="n">
        <v>0.009050000000000001</v>
      </c>
      <c r="C34" s="29" t="n">
        <v>145930000</v>
      </c>
      <c r="D34" s="29" t="n">
        <v>1320667</v>
      </c>
      <c r="E34" s="2" t="n"/>
      <c r="F34" s="2" t="n"/>
      <c r="G34" s="2" t="n"/>
      <c r="H34" s="2" t="n"/>
      <c r="I34" s="2" t="n"/>
      <c r="J34" s="2" t="n"/>
      <c r="K34" s="2" t="n"/>
    </row>
    <row r="35">
      <c r="A35" s="13" t="inlineStr">
        <is>
          <t>West Contra Costa Healthcare District parcel tax obligations</t>
        </is>
      </c>
      <c r="B35" s="93" t="n">
        <v>0.12896</v>
      </c>
      <c r="C35" s="29" t="n">
        <v>40155000</v>
      </c>
      <c r="D35" s="29" t="n">
        <v>5178389</v>
      </c>
      <c r="E35" s="2" t="n"/>
      <c r="F35" s="2" t="n"/>
      <c r="G35" s="2" t="n"/>
      <c r="H35" s="2" t="n"/>
      <c r="I35" s="2" t="n"/>
      <c r="J35" s="2" t="n"/>
      <c r="K35" s="2" t="n"/>
    </row>
    <row r="36">
      <c r="A36" s="13" t="inlineStr">
        <is>
          <t>Contra Costa County General Fund obligations</t>
        </is>
      </c>
      <c r="B36" s="93" t="n">
        <v>0.02168</v>
      </c>
      <c r="C36" s="29" t="n">
        <v>150845000</v>
      </c>
      <c r="D36" s="29" t="n">
        <v>3270320</v>
      </c>
      <c r="E36" s="2" t="n"/>
      <c r="F36" s="2" t="n"/>
      <c r="G36" s="2" t="n"/>
      <c r="H36" s="2" t="n"/>
      <c r="I36" s="2" t="n"/>
      <c r="J36" s="2" t="n"/>
      <c r="K36" s="2" t="n"/>
    </row>
    <row r="37">
      <c r="A37" s="13" t="inlineStr">
        <is>
          <t>AC Transit certificates of participation</t>
        </is>
      </c>
      <c r="B37" s="93" t="n">
        <v>0.017</v>
      </c>
      <c r="C37" s="29" t="n">
        <v>9600000</v>
      </c>
      <c r="D37" s="29" t="n">
        <v>163200</v>
      </c>
      <c r="E37" s="2" t="n"/>
      <c r="F37" s="2" t="n"/>
      <c r="G37" s="2" t="n"/>
      <c r="H37" s="2" t="n"/>
      <c r="I37" s="2" t="n"/>
      <c r="J37" s="2" t="n"/>
      <c r="K37" s="2" t="n"/>
    </row>
    <row r="38">
      <c r="A38" s="13" t="inlineStr">
        <is>
          <t>WCCUSD General Fund obligations</t>
        </is>
      </c>
      <c r="B38" s="93" t="n">
        <v>0.14068</v>
      </c>
      <c r="C38" s="29" t="n">
        <v>2845000</v>
      </c>
      <c r="D38" s="29" t="n">
        <v>400235</v>
      </c>
      <c r="E38" s="2" t="n"/>
      <c r="F38" s="2" t="n"/>
      <c r="G38" s="2" t="n"/>
      <c r="H38" s="2" t="n"/>
      <c r="I38" s="2" t="n"/>
      <c r="J38" s="2" t="n"/>
      <c r="K38" s="2" t="n"/>
    </row>
    <row r="39">
      <c r="A39" s="13" t="inlineStr">
        <is>
          <t>Contra Costa Mosquito Abatement District</t>
        </is>
      </c>
      <c r="B39" s="93" t="n">
        <v>0.02175</v>
      </c>
      <c r="C39" s="29" t="n">
        <v>8050000</v>
      </c>
      <c r="D39" s="29" t="n">
        <v>175088</v>
      </c>
      <c r="E39" s="2" t="n"/>
      <c r="F39" s="2" t="n"/>
      <c r="G39" s="2" t="n"/>
      <c r="H39" s="2" t="n"/>
      <c r="I39" s="2" t="n"/>
      <c r="J39" s="2" t="n"/>
      <c r="K39" s="2" t="n"/>
    </row>
    <row r="40">
      <c r="A40" s="13" t="inlineStr">
        <is>
          <t>City of El Cerrito long-term debt (direct)</t>
        </is>
      </c>
      <c r="B40" s="93" t="n">
        <v>1</v>
      </c>
      <c r="C40" s="29" t="n">
        <v>13929123</v>
      </c>
      <c r="D40" s="29" t="n">
        <v>13929123</v>
      </c>
      <c r="E40" s="2" t="n"/>
      <c r="F40" s="2" t="n"/>
      <c r="G40" s="2" t="n"/>
      <c r="H40" s="2" t="n"/>
      <c r="I40" s="2" t="n"/>
      <c r="J40" s="2" t="n"/>
      <c r="K40" s="2" t="n"/>
    </row>
    <row r="41">
      <c r="A41" s="13" t="inlineStr">
        <is>
          <t>Successor Agency tax increment debt</t>
        </is>
      </c>
      <c r="B41" s="93" t="n">
        <v>1</v>
      </c>
      <c r="C41" s="29" t="n">
        <v>1048242</v>
      </c>
      <c r="D41" s="29" t="n">
        <v>1048242</v>
      </c>
      <c r="E41" s="2" t="n"/>
      <c r="F41" s="2" t="n"/>
      <c r="G41" s="2" t="n"/>
      <c r="H41" s="2" t="n"/>
      <c r="I41" s="2" t="n"/>
      <c r="J41" s="2" t="n"/>
      <c r="K41" s="2" t="n"/>
    </row>
    <row r="42">
      <c r="A42" s="12" t="inlineStr">
        <is>
          <t>Gross combined total debt (excl. Successor Agency)</t>
        </is>
      </c>
      <c r="B42" s="2" t="n"/>
      <c r="C42" s="2" t="n"/>
      <c r="D42" s="27">
        <f>SUM(D31:D40)</f>
        <v/>
      </c>
      <c r="E42" s="2" t="n"/>
      <c r="F42" s="2" t="n"/>
      <c r="G42" s="2" t="n"/>
      <c r="H42" s="2" t="n"/>
      <c r="I42" s="2" t="n"/>
      <c r="J42" s="2" t="n"/>
      <c r="K42" s="2" t="n"/>
    </row>
    <row r="43">
      <c r="A43" s="13" t="inlineStr">
        <is>
          <t>Check: vs. ACFR $231,240,501 (rounding)</t>
        </is>
      </c>
      <c r="B43" s="2" t="n"/>
      <c r="C43" s="2" t="n"/>
      <c r="D43" s="65">
        <f>D42-231240501</f>
        <v/>
      </c>
      <c r="E43" s="2" t="n"/>
      <c r="F43" s="2" t="n"/>
      <c r="G43" s="2" t="n"/>
      <c r="H43" s="2" t="n"/>
      <c r="I43" s="2" t="n"/>
      <c r="J43" s="2" t="n"/>
      <c r="K43" s="2" t="n"/>
    </row>
    <row r="44">
      <c r="A44" s="13" t="inlineStr">
        <is>
          <t>Direct City debt as % of total burden on El Cerrito taxpayers</t>
        </is>
      </c>
      <c r="B44" s="2" t="n"/>
      <c r="C44" s="2" t="n"/>
      <c r="D44" s="94">
        <f>D40/D42</f>
        <v/>
      </c>
      <c r="E44" s="2" t="n"/>
      <c r="F44" s="2" t="n"/>
      <c r="G44" s="2" t="n"/>
      <c r="H44" s="2" t="n"/>
      <c r="I44" s="2" t="n"/>
      <c r="J44" s="2" t="n"/>
      <c r="K44" s="2" t="n"/>
    </row>
    <row r="45">
      <c r="A45" s="13" t="inlineStr">
        <is>
          <t>Combined debt as % of FY2025 assessed value</t>
        </is>
      </c>
      <c r="B45" s="2" t="n"/>
      <c r="C45" s="2" t="n"/>
      <c r="D45" s="86">
        <f>D42/Stat_Revenue_Operating!K10</f>
        <v/>
      </c>
      <c r="E45" s="2" t="n"/>
      <c r="F45" s="2" t="n"/>
      <c r="G45" s="2" t="n"/>
      <c r="H45" s="2" t="n"/>
      <c r="I45" s="2" t="n"/>
      <c r="J45" s="2" t="n"/>
      <c r="K45" s="2" t="n"/>
    </row>
  </sheetData>
  <pageMargins left="0.75" right="0.75" top="1" bottom="1" header="0.5" footer="0.5"/>
</worksheet>
</file>

<file path=xl/worksheets/sheet18.xml><?xml version="1.0" encoding="utf-8"?>
<worksheet xmlns="http://schemas.openxmlformats.org/spreadsheetml/2006/main">
  <sheetPr>
    <tabColor rgb="001F3864"/>
    <outlinePr summaryBelow="1" summaryRight="1"/>
    <pageSetUpPr/>
  </sheetPr>
  <dimension ref="A1:J29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4" customWidth="1" min="3" max="3"/>
    <col width="34" customWidth="1" min="4" max="4"/>
    <col width="14" customWidth="1" min="5" max="5"/>
    <col width="14" customWidth="1" min="6" max="6"/>
    <col width="14" customWidth="1" min="7" max="7"/>
    <col width="14" customWidth="1" min="8" max="8"/>
    <col width="14" customWidth="1" min="9" max="9"/>
    <col width="60" customWidth="1" min="10" max="10"/>
  </cols>
  <sheetData>
    <row r="1">
      <c r="A1" s="1" t="inlineStr">
        <is>
          <t>General Fund budget-to-actual, line items as reported (FY2014-FY2025 audited; FY2025-26 unaudited)</t>
        </is>
      </c>
      <c r="B1" s="2" t="n"/>
      <c r="C1" s="2" t="n"/>
      <c r="D1" s="2" t="n"/>
      <c r="E1" s="2" t="n"/>
      <c r="F1" s="2" t="n"/>
      <c r="G1" s="2" t="n"/>
      <c r="H1" s="2" t="n"/>
      <c r="I1" s="2" t="n"/>
      <c r="J1" s="2" t="n"/>
    </row>
    <row r="2">
      <c r="A2" s="7" t="inlineStr">
        <is>
          <t>Source: 'Budget and Actual, General Fund' schedule in each year's audited CAFR/ACFR. FY2026 rows (shaded) are UNAUDITED, from the Q4 budget update, on the City's budget-report basis. Blue = transcribed input. Expenditures positive; transfers out negative.</t>
        </is>
      </c>
      <c r="B2" s="2" t="n"/>
      <c r="C2" s="2" t="n"/>
      <c r="D2" s="2" t="n"/>
      <c r="E2" s="2" t="n"/>
      <c r="F2" s="2" t="n"/>
      <c r="G2" s="2" t="n"/>
      <c r="H2" s="2" t="n"/>
      <c r="I2" s="2" t="n"/>
      <c r="J2" s="2" t="n"/>
    </row>
    <row r="3">
      <c r="A3" s="2" t="n"/>
      <c r="B3" s="2" t="n"/>
      <c r="C3" s="2" t="n"/>
      <c r="D3" s="2" t="n"/>
      <c r="E3" s="2" t="n"/>
      <c r="F3" s="2" t="n"/>
      <c r="G3" s="2" t="n"/>
      <c r="H3" s="2" t="n"/>
      <c r="I3" s="2" t="n"/>
      <c r="J3" s="2" t="n"/>
    </row>
    <row r="4">
      <c r="A4" s="8" t="inlineStr">
        <is>
          <t>FY (June 30)</t>
        </is>
      </c>
      <c r="B4" s="8" t="inlineStr">
        <is>
          <t>Section</t>
        </is>
      </c>
      <c r="C4" s="8" t="inlineStr">
        <is>
          <t>Line item as reported</t>
        </is>
      </c>
      <c r="D4" s="8" t="inlineStr">
        <is>
          <t>Standard category</t>
        </is>
      </c>
      <c r="E4" s="8" t="inlineStr">
        <is>
          <t>Original budget</t>
        </is>
      </c>
      <c r="F4" s="8" t="inlineStr">
        <is>
          <t>Final budget</t>
        </is>
      </c>
      <c r="G4" s="8" t="inlineStr">
        <is>
          <t>Actual</t>
        </is>
      </c>
      <c r="H4" s="8" t="inlineStr">
        <is>
          <t>Actual - Original</t>
        </is>
      </c>
      <c r="I4" s="8" t="inlineStr">
        <is>
          <t>Actual - Final</t>
        </is>
      </c>
      <c r="J4" s="8" t="inlineStr">
        <is>
          <t>Source</t>
        </is>
      </c>
    </row>
    <row r="5">
      <c r="A5" s="95" t="n">
        <v>2014</v>
      </c>
      <c r="B5" s="13" t="inlineStr">
        <is>
          <t>Revenue</t>
        </is>
      </c>
      <c r="C5" s="13" t="inlineStr">
        <is>
          <t>Property taxes</t>
        </is>
      </c>
      <c r="D5" s="13" t="inlineStr">
        <is>
          <t>Property taxes</t>
        </is>
      </c>
      <c r="E5" s="29" t="n">
        <v>8170213</v>
      </c>
      <c r="F5" s="29" t="n">
        <v>8170213</v>
      </c>
      <c r="G5" s="29" t="n">
        <v>7887028</v>
      </c>
      <c r="H5" s="22">
        <f>G5-E5</f>
        <v/>
      </c>
      <c r="I5" s="22">
        <f>G5-F5</f>
        <v/>
      </c>
      <c r="J5" s="7" t="inlineStr">
        <is>
          <t>FY2014 CAFR (elcerrito.gov Archive ADID 2171)</t>
        </is>
      </c>
    </row>
    <row r="6">
      <c r="A6" s="95" t="n">
        <v>2014</v>
      </c>
      <c r="B6" s="13" t="inlineStr">
        <is>
          <t>Revenue</t>
        </is>
      </c>
      <c r="C6" s="13" t="inlineStr">
        <is>
          <t>Taxes other than property</t>
        </is>
      </c>
      <c r="D6" s="13" t="inlineStr">
        <is>
          <t>Taxes other than property</t>
        </is>
      </c>
      <c r="E6" s="29" t="n">
        <v>10320650</v>
      </c>
      <c r="F6" s="29" t="n">
        <v>10320650</v>
      </c>
      <c r="G6" s="29" t="n">
        <v>10755334</v>
      </c>
      <c r="H6" s="22">
        <f>G6-E6</f>
        <v/>
      </c>
      <c r="I6" s="22">
        <f>G6-F6</f>
        <v/>
      </c>
      <c r="J6" s="7" t="inlineStr">
        <is>
          <t>FY2014 CAFR (elcerrito.gov Archive ADID 2171)</t>
        </is>
      </c>
    </row>
    <row r="7">
      <c r="A7" s="95" t="n">
        <v>2014</v>
      </c>
      <c r="B7" s="13" t="inlineStr">
        <is>
          <t>Revenue</t>
        </is>
      </c>
      <c r="C7" s="13" t="inlineStr">
        <is>
          <t>Licenses and permits</t>
        </is>
      </c>
      <c r="D7" s="13" t="inlineStr">
        <is>
          <t>Licenses and permits</t>
        </is>
      </c>
      <c r="E7" s="29" t="n">
        <v>606000</v>
      </c>
      <c r="F7" s="29" t="n">
        <v>606000</v>
      </c>
      <c r="G7" s="29" t="n">
        <v>539567</v>
      </c>
      <c r="H7" s="22">
        <f>G7-E7</f>
        <v/>
      </c>
      <c r="I7" s="22">
        <f>G7-F7</f>
        <v/>
      </c>
      <c r="J7" s="7" t="inlineStr">
        <is>
          <t>FY2014 CAFR (elcerrito.gov Archive ADID 2171)</t>
        </is>
      </c>
    </row>
    <row r="8">
      <c r="A8" s="95" t="n">
        <v>2014</v>
      </c>
      <c r="B8" s="13" t="inlineStr">
        <is>
          <t>Revenue</t>
        </is>
      </c>
      <c r="C8" s="13" t="inlineStr">
        <is>
          <t>Fines and forfeitures</t>
        </is>
      </c>
      <c r="D8" s="13" t="inlineStr">
        <is>
          <t>Fines and forfeitures</t>
        </is>
      </c>
      <c r="E8" s="29" t="n">
        <v>306500</v>
      </c>
      <c r="F8" s="29" t="n">
        <v>306500</v>
      </c>
      <c r="G8" s="29" t="n">
        <v>388365</v>
      </c>
      <c r="H8" s="22">
        <f>G8-E8</f>
        <v/>
      </c>
      <c r="I8" s="22">
        <f>G8-F8</f>
        <v/>
      </c>
      <c r="J8" s="7" t="inlineStr">
        <is>
          <t>FY2014 CAFR (elcerrito.gov Archive ADID 2171)</t>
        </is>
      </c>
    </row>
    <row r="9">
      <c r="A9" s="95" t="n">
        <v>2014</v>
      </c>
      <c r="B9" s="13" t="inlineStr">
        <is>
          <t>Revenue</t>
        </is>
      </c>
      <c r="C9" s="13" t="inlineStr">
        <is>
          <t>Use of money and property</t>
        </is>
      </c>
      <c r="D9" s="13" t="inlineStr">
        <is>
          <t>Use of money and property</t>
        </is>
      </c>
      <c r="E9" s="29" t="n">
        <v>315700</v>
      </c>
      <c r="F9" s="29" t="n">
        <v>315700</v>
      </c>
      <c r="G9" s="29" t="n">
        <v>289661</v>
      </c>
      <c r="H9" s="22">
        <f>G9-E9</f>
        <v/>
      </c>
      <c r="I9" s="22">
        <f>G9-F9</f>
        <v/>
      </c>
      <c r="J9" s="7" t="inlineStr">
        <is>
          <t>FY2014 CAFR (elcerrito.gov Archive ADID 2171)</t>
        </is>
      </c>
    </row>
    <row r="10">
      <c r="A10" s="95" t="n">
        <v>2014</v>
      </c>
      <c r="B10" s="13" t="inlineStr">
        <is>
          <t>Revenue</t>
        </is>
      </c>
      <c r="C10" s="13" t="inlineStr">
        <is>
          <t>Intergovernmental</t>
        </is>
      </c>
      <c r="D10" s="13" t="inlineStr">
        <is>
          <t>Intergovernmental</t>
        </is>
      </c>
      <c r="E10" s="29" t="n">
        <v>3302128</v>
      </c>
      <c r="F10" s="29" t="n">
        <v>3522649</v>
      </c>
      <c r="G10" s="29" t="n">
        <v>3460949</v>
      </c>
      <c r="H10" s="22">
        <f>G10-E10</f>
        <v/>
      </c>
      <c r="I10" s="22">
        <f>G10-F10</f>
        <v/>
      </c>
      <c r="J10" s="7" t="inlineStr">
        <is>
          <t>FY2014 CAFR (elcerrito.gov Archive ADID 2171)</t>
        </is>
      </c>
    </row>
    <row r="11">
      <c r="A11" s="95" t="n">
        <v>2014</v>
      </c>
      <c r="B11" s="13" t="inlineStr">
        <is>
          <t>Revenue</t>
        </is>
      </c>
      <c r="C11" s="13" t="inlineStr">
        <is>
          <t>Charges for services</t>
        </is>
      </c>
      <c r="D11" s="13" t="inlineStr">
        <is>
          <t>Charges for services</t>
        </is>
      </c>
      <c r="E11" s="29" t="n">
        <v>4451362</v>
      </c>
      <c r="F11" s="29" t="n">
        <v>4561496</v>
      </c>
      <c r="G11" s="29" t="n">
        <v>4781590</v>
      </c>
      <c r="H11" s="22">
        <f>G11-E11</f>
        <v/>
      </c>
      <c r="I11" s="22">
        <f>G11-F11</f>
        <v/>
      </c>
      <c r="J11" s="7" t="inlineStr">
        <is>
          <t>FY2014 CAFR (elcerrito.gov Archive ADID 2171)</t>
        </is>
      </c>
    </row>
    <row r="12">
      <c r="A12" s="95" t="n">
        <v>2014</v>
      </c>
      <c r="B12" s="13" t="inlineStr">
        <is>
          <t>Revenue</t>
        </is>
      </c>
      <c r="C12" s="13" t="inlineStr">
        <is>
          <t>Other revenues</t>
        </is>
      </c>
      <c r="D12" s="13" t="inlineStr">
        <is>
          <t>Other revenues</t>
        </is>
      </c>
      <c r="E12" s="29" t="n">
        <v>202147</v>
      </c>
      <c r="F12" s="29" t="n">
        <v>202147</v>
      </c>
      <c r="G12" s="29" t="n">
        <v>146442</v>
      </c>
      <c r="H12" s="22">
        <f>G12-E12</f>
        <v/>
      </c>
      <c r="I12" s="22">
        <f>G12-F12</f>
        <v/>
      </c>
      <c r="J12" s="7" t="inlineStr">
        <is>
          <t>FY2014 CAFR (elcerrito.gov Archive ADID 2171)</t>
        </is>
      </c>
    </row>
    <row r="13">
      <c r="A13" s="95" t="n">
        <v>2014</v>
      </c>
      <c r="B13" s="13" t="inlineStr">
        <is>
          <t>Expenditure</t>
        </is>
      </c>
      <c r="C13" s="13" t="inlineStr">
        <is>
          <t>City council</t>
        </is>
      </c>
      <c r="D13" s="13" t="inlineStr">
        <is>
          <t>General government</t>
        </is>
      </c>
      <c r="E13" s="29" t="n">
        <v>68664</v>
      </c>
      <c r="F13" s="29" t="n">
        <v>68664</v>
      </c>
      <c r="G13" s="29" t="n">
        <v>79570</v>
      </c>
      <c r="H13" s="22">
        <f>G13-E13</f>
        <v/>
      </c>
      <c r="I13" s="22">
        <f>G13-F13</f>
        <v/>
      </c>
      <c r="J13" s="7" t="inlineStr">
        <is>
          <t>FY2014 CAFR (elcerrito.gov Archive ADID 2171)</t>
        </is>
      </c>
    </row>
    <row r="14">
      <c r="A14" s="95" t="n">
        <v>2014</v>
      </c>
      <c r="B14" s="13" t="inlineStr">
        <is>
          <t>Expenditure</t>
        </is>
      </c>
      <c r="C14" s="13" t="inlineStr">
        <is>
          <t>City manager</t>
        </is>
      </c>
      <c r="D14" s="13" t="inlineStr">
        <is>
          <t>General government</t>
        </is>
      </c>
      <c r="E14" s="29" t="n">
        <v>631167</v>
      </c>
      <c r="F14" s="29" t="n">
        <v>631167</v>
      </c>
      <c r="G14" s="29" t="n">
        <v>704336</v>
      </c>
      <c r="H14" s="22">
        <f>G14-E14</f>
        <v/>
      </c>
      <c r="I14" s="22">
        <f>G14-F14</f>
        <v/>
      </c>
      <c r="J14" s="7" t="inlineStr">
        <is>
          <t>FY2014 CAFR (elcerrito.gov Archive ADID 2171)</t>
        </is>
      </c>
    </row>
    <row r="15">
      <c r="A15" s="95" t="n">
        <v>2014</v>
      </c>
      <c r="B15" s="13" t="inlineStr">
        <is>
          <t>Expenditure</t>
        </is>
      </c>
      <c r="C15" s="13" t="inlineStr">
        <is>
          <t>City attorney</t>
        </is>
      </c>
      <c r="D15" s="13" t="inlineStr">
        <is>
          <t>General government</t>
        </is>
      </c>
      <c r="E15" s="29" t="n">
        <v>275000</v>
      </c>
      <c r="F15" s="29" t="n">
        <v>275000</v>
      </c>
      <c r="G15" s="29" t="n">
        <v>309290</v>
      </c>
      <c r="H15" s="22">
        <f>G15-E15</f>
        <v/>
      </c>
      <c r="I15" s="22">
        <f>G15-F15</f>
        <v/>
      </c>
      <c r="J15" s="7" t="inlineStr">
        <is>
          <t>FY2014 CAFR (elcerrito.gov Archive ADID 2171)</t>
        </is>
      </c>
    </row>
    <row r="16">
      <c r="A16" s="95" t="n">
        <v>2014</v>
      </c>
      <c r="B16" s="13" t="inlineStr">
        <is>
          <t>Expenditure</t>
        </is>
      </c>
      <c r="C16" s="13" t="inlineStr">
        <is>
          <t>Financial services</t>
        </is>
      </c>
      <c r="D16" s="13" t="inlineStr">
        <is>
          <t>General government</t>
        </is>
      </c>
      <c r="E16" s="29" t="n">
        <v>1143795</v>
      </c>
      <c r="F16" s="29" t="n">
        <v>1143795</v>
      </c>
      <c r="G16" s="29" t="n">
        <v>1236561</v>
      </c>
      <c r="H16" s="22">
        <f>G16-E16</f>
        <v/>
      </c>
      <c r="I16" s="22">
        <f>G16-F16</f>
        <v/>
      </c>
      <c r="J16" s="7" t="inlineStr">
        <is>
          <t>FY2014 CAFR (elcerrito.gov Archive ADID 2171)</t>
        </is>
      </c>
    </row>
    <row r="17">
      <c r="A17" s="95" t="n">
        <v>2014</v>
      </c>
      <c r="B17" s="13" t="inlineStr">
        <is>
          <t>Expenditure</t>
        </is>
      </c>
      <c r="C17" s="13" t="inlineStr">
        <is>
          <t>City clerk</t>
        </is>
      </c>
      <c r="D17" s="13" t="inlineStr">
        <is>
          <t>General government</t>
        </is>
      </c>
      <c r="E17" s="29" t="n">
        <v>270737</v>
      </c>
      <c r="F17" s="29" t="n">
        <v>270737</v>
      </c>
      <c r="G17" s="29" t="n">
        <v>242777</v>
      </c>
      <c r="H17" s="22">
        <f>G17-E17</f>
        <v/>
      </c>
      <c r="I17" s="22">
        <f>G17-F17</f>
        <v/>
      </c>
      <c r="J17" s="7" t="inlineStr">
        <is>
          <t>FY2014 CAFR (elcerrito.gov Archive ADID 2171)</t>
        </is>
      </c>
    </row>
    <row r="18">
      <c r="A18" s="95" t="n">
        <v>2014</v>
      </c>
      <c r="B18" s="13" t="inlineStr">
        <is>
          <t>Expenditure</t>
        </is>
      </c>
      <c r="C18" s="13" t="inlineStr">
        <is>
          <t>Information systems</t>
        </is>
      </c>
      <c r="D18" s="13" t="inlineStr">
        <is>
          <t>General government</t>
        </is>
      </c>
      <c r="E18" s="29" t="n">
        <v>398405</v>
      </c>
      <c r="F18" s="29" t="n">
        <v>398405</v>
      </c>
      <c r="G18" s="29" t="n">
        <v>399283</v>
      </c>
      <c r="H18" s="22">
        <f>G18-E18</f>
        <v/>
      </c>
      <c r="I18" s="22">
        <f>G18-F18</f>
        <v/>
      </c>
      <c r="J18" s="7" t="inlineStr">
        <is>
          <t>FY2014 CAFR (elcerrito.gov Archive ADID 2171)</t>
        </is>
      </c>
    </row>
    <row r="19">
      <c r="A19" s="95" t="n">
        <v>2014</v>
      </c>
      <c r="B19" s="13" t="inlineStr">
        <is>
          <t>Expenditure</t>
        </is>
      </c>
      <c r="C19" s="13" t="inlineStr">
        <is>
          <t>Employee services</t>
        </is>
      </c>
      <c r="D19" s="13" t="inlineStr">
        <is>
          <t>General government</t>
        </is>
      </c>
      <c r="E19" s="29" t="n">
        <v>987167</v>
      </c>
      <c r="F19" s="29" t="n">
        <v>987167</v>
      </c>
      <c r="G19" s="29" t="n">
        <v>995525</v>
      </c>
      <c r="H19" s="22">
        <f>G19-E19</f>
        <v/>
      </c>
      <c r="I19" s="22">
        <f>G19-F19</f>
        <v/>
      </c>
      <c r="J19" s="7" t="inlineStr">
        <is>
          <t>FY2014 CAFR (elcerrito.gov Archive ADID 2171)</t>
        </is>
      </c>
    </row>
    <row r="20">
      <c r="A20" s="95" t="n">
        <v>2014</v>
      </c>
      <c r="B20" s="13" t="inlineStr">
        <is>
          <t>Expenditure</t>
        </is>
      </c>
      <c r="C20" s="13" t="inlineStr">
        <is>
          <t>Public works</t>
        </is>
      </c>
      <c r="D20" s="13" t="inlineStr">
        <is>
          <t>Public works</t>
        </is>
      </c>
      <c r="E20" s="29" t="n">
        <v>392225</v>
      </c>
      <c r="F20" s="29" t="n">
        <v>452225</v>
      </c>
      <c r="G20" s="29" t="n">
        <v>517787</v>
      </c>
      <c r="H20" s="22">
        <f>G20-E20</f>
        <v/>
      </c>
      <c r="I20" s="22">
        <f>G20-F20</f>
        <v/>
      </c>
      <c r="J20" s="7" t="inlineStr">
        <is>
          <t>FY2014 CAFR (elcerrito.gov Archive ADID 2171)</t>
        </is>
      </c>
    </row>
    <row r="21">
      <c r="A21" s="95" t="n">
        <v>2014</v>
      </c>
      <c r="B21" s="13" t="inlineStr">
        <is>
          <t>Expenditure</t>
        </is>
      </c>
      <c r="C21" s="13" t="inlineStr">
        <is>
          <t>Recreation</t>
        </is>
      </c>
      <c r="D21" s="13" t="inlineStr">
        <is>
          <t>Recreation</t>
        </is>
      </c>
      <c r="E21" s="29" t="n">
        <v>3890629</v>
      </c>
      <c r="F21" s="29" t="n">
        <v>3890629</v>
      </c>
      <c r="G21" s="29" t="n">
        <v>4002274</v>
      </c>
      <c r="H21" s="22">
        <f>G21-E21</f>
        <v/>
      </c>
      <c r="I21" s="22">
        <f>G21-F21</f>
        <v/>
      </c>
      <c r="J21" s="7" t="inlineStr">
        <is>
          <t>FY2014 CAFR (elcerrito.gov Archive ADID 2171)</t>
        </is>
      </c>
    </row>
    <row r="22">
      <c r="A22" s="95" t="n">
        <v>2014</v>
      </c>
      <c r="B22" s="13" t="inlineStr">
        <is>
          <t>Expenditure</t>
        </is>
      </c>
      <c r="C22" s="13" t="inlineStr">
        <is>
          <t>Community development</t>
        </is>
      </c>
      <c r="D22" s="13" t="inlineStr">
        <is>
          <t>Community development</t>
        </is>
      </c>
      <c r="E22" s="29" t="n">
        <v>1326688</v>
      </c>
      <c r="F22" s="29" t="n">
        <v>1491688</v>
      </c>
      <c r="G22" s="29" t="n">
        <v>1515150</v>
      </c>
      <c r="H22" s="22">
        <f>G22-E22</f>
        <v/>
      </c>
      <c r="I22" s="22">
        <f>G22-F22</f>
        <v/>
      </c>
      <c r="J22" s="7" t="inlineStr">
        <is>
          <t>FY2014 CAFR (elcerrito.gov Archive ADID 2171)</t>
        </is>
      </c>
    </row>
    <row r="23">
      <c r="A23" s="95" t="n">
        <v>2014</v>
      </c>
      <c r="B23" s="13" t="inlineStr">
        <is>
          <t>Expenditure</t>
        </is>
      </c>
      <c r="C23" s="13" t="inlineStr">
        <is>
          <t>Police</t>
        </is>
      </c>
      <c r="D23" s="13" t="inlineStr">
        <is>
          <t>Public safety - Police</t>
        </is>
      </c>
      <c r="E23" s="29" t="n">
        <v>10264068</v>
      </c>
      <c r="F23" s="29" t="n">
        <v>10264068</v>
      </c>
      <c r="G23" s="29" t="n">
        <v>9744618</v>
      </c>
      <c r="H23" s="22">
        <f>G23-E23</f>
        <v/>
      </c>
      <c r="I23" s="22">
        <f>G23-F23</f>
        <v/>
      </c>
      <c r="J23" s="7" t="inlineStr">
        <is>
          <t>FY2014 CAFR (elcerrito.gov Archive ADID 2171)</t>
        </is>
      </c>
    </row>
    <row r="24">
      <c r="A24" s="95" t="n">
        <v>2014</v>
      </c>
      <c r="B24" s="13" t="inlineStr">
        <is>
          <t>Expenditure</t>
        </is>
      </c>
      <c r="C24" s="13" t="inlineStr">
        <is>
          <t>Fire</t>
        </is>
      </c>
      <c r="D24" s="13" t="inlineStr">
        <is>
          <t>Public safety - Fire</t>
        </is>
      </c>
      <c r="E24" s="29" t="n">
        <v>7977729</v>
      </c>
      <c r="F24" s="29" t="n">
        <v>8157992</v>
      </c>
      <c r="G24" s="29" t="n">
        <v>8314014</v>
      </c>
      <c r="H24" s="22">
        <f>G24-E24</f>
        <v/>
      </c>
      <c r="I24" s="22">
        <f>G24-F24</f>
        <v/>
      </c>
      <c r="J24" s="7" t="inlineStr">
        <is>
          <t>FY2014 CAFR (elcerrito.gov Archive ADID 2171)</t>
        </is>
      </c>
    </row>
    <row r="25">
      <c r="A25" s="95" t="n">
        <v>2014</v>
      </c>
      <c r="B25" s="13" t="inlineStr">
        <is>
          <t>Expenditure</t>
        </is>
      </c>
      <c r="C25" s="13" t="inlineStr">
        <is>
          <t>Payment of sales tax to City of Richmond</t>
        </is>
      </c>
      <c r="D25" s="13" t="inlineStr">
        <is>
          <t>Payment of sales tax to City of Richmond</t>
        </is>
      </c>
      <c r="E25" s="29" t="n">
        <v>0</v>
      </c>
      <c r="F25" s="29" t="n">
        <v>0</v>
      </c>
      <c r="G25" s="29" t="n">
        <v>253720</v>
      </c>
      <c r="H25" s="22">
        <f>G25-E25</f>
        <v/>
      </c>
      <c r="I25" s="22">
        <f>G25-F25</f>
        <v/>
      </c>
      <c r="J25" s="7" t="inlineStr">
        <is>
          <t>FY2014 CAFR (elcerrito.gov Archive ADID 2171)</t>
        </is>
      </c>
    </row>
    <row r="26">
      <c r="A26" s="95" t="n">
        <v>2014</v>
      </c>
      <c r="B26" s="13" t="inlineStr">
        <is>
          <t>Expenditure</t>
        </is>
      </c>
      <c r="C26" s="13" t="inlineStr">
        <is>
          <t>Capital outlay</t>
        </is>
      </c>
      <c r="D26" s="13" t="inlineStr">
        <is>
          <t>Capital outlay</t>
        </is>
      </c>
      <c r="E26" s="29" t="n">
        <v>120000</v>
      </c>
      <c r="F26" s="29" t="n">
        <v>120000</v>
      </c>
      <c r="G26" s="29" t="n">
        <v>105504</v>
      </c>
      <c r="H26" s="22">
        <f>G26-E26</f>
        <v/>
      </c>
      <c r="I26" s="22">
        <f>G26-F26</f>
        <v/>
      </c>
      <c r="J26" s="7" t="inlineStr">
        <is>
          <t>FY2014 CAFR (elcerrito.gov Archive ADID 2171)</t>
        </is>
      </c>
    </row>
    <row r="27">
      <c r="A27" s="95" t="n">
        <v>2014</v>
      </c>
      <c r="B27" s="13" t="inlineStr">
        <is>
          <t>Expenditure</t>
        </is>
      </c>
      <c r="C27" s="13" t="inlineStr">
        <is>
          <t>Principal</t>
        </is>
      </c>
      <c r="D27" s="13" t="inlineStr">
        <is>
          <t>Debt service - principal</t>
        </is>
      </c>
      <c r="E27" s="29" t="n">
        <v>88410</v>
      </c>
      <c r="F27" s="29" t="n">
        <v>88410</v>
      </c>
      <c r="G27" s="29" t="n">
        <v>88410</v>
      </c>
      <c r="H27" s="22">
        <f>G27-E27</f>
        <v/>
      </c>
      <c r="I27" s="22">
        <f>G27-F27</f>
        <v/>
      </c>
      <c r="J27" s="7" t="inlineStr">
        <is>
          <t>FY2014 CAFR (elcerrito.gov Archive ADID 2171)</t>
        </is>
      </c>
    </row>
    <row r="28">
      <c r="A28" s="95" t="n">
        <v>2014</v>
      </c>
      <c r="B28" s="13" t="inlineStr">
        <is>
          <t>Other financing</t>
        </is>
      </c>
      <c r="C28" s="13" t="inlineStr">
        <is>
          <t>Transfers in</t>
        </is>
      </c>
      <c r="D28" s="13" t="inlineStr">
        <is>
          <t>Transfers in</t>
        </is>
      </c>
      <c r="E28" s="29" t="n">
        <v>804379</v>
      </c>
      <c r="F28" s="29" t="n">
        <v>804379</v>
      </c>
      <c r="G28" s="29" t="n">
        <v>804379</v>
      </c>
      <c r="H28" s="22">
        <f>G28-E28</f>
        <v/>
      </c>
      <c r="I28" s="22">
        <f>G28-F28</f>
        <v/>
      </c>
      <c r="J28" s="7" t="inlineStr">
        <is>
          <t>FY2014 CAFR (elcerrito.gov Archive ADID 2171)</t>
        </is>
      </c>
    </row>
    <row r="29">
      <c r="A29" s="95" t="n">
        <v>2014</v>
      </c>
      <c r="B29" s="13" t="inlineStr">
        <is>
          <t>Other financing</t>
        </is>
      </c>
      <c r="C29" s="13" t="inlineStr">
        <is>
          <t>Transfers (out)</t>
        </is>
      </c>
      <c r="D29" s="13" t="inlineStr">
        <is>
          <t>Transfers out</t>
        </is>
      </c>
      <c r="E29" s="29" t="n">
        <v>-618908</v>
      </c>
      <c r="F29" s="29" t="n">
        <v>-1745308</v>
      </c>
      <c r="G29" s="29" t="n">
        <v>-1615268</v>
      </c>
      <c r="H29" s="22">
        <f>G29-E29</f>
        <v/>
      </c>
      <c r="I29" s="22">
        <f>G29-F29</f>
        <v/>
      </c>
      <c r="J29" s="7" t="inlineStr">
        <is>
          <t>FY2014 CAFR (elcerrito.gov Archive ADID 2171)</t>
        </is>
      </c>
    </row>
    <row r="30">
      <c r="A30" s="95" t="n">
        <v>2015</v>
      </c>
      <c r="B30" s="13" t="inlineStr">
        <is>
          <t>Revenue</t>
        </is>
      </c>
      <c r="C30" s="13" t="inlineStr">
        <is>
          <t>Property taxes</t>
        </is>
      </c>
      <c r="D30" s="13" t="inlineStr">
        <is>
          <t>Property taxes</t>
        </is>
      </c>
      <c r="E30" s="29" t="n">
        <v>8392074</v>
      </c>
      <c r="F30" s="29" t="n">
        <v>8517814</v>
      </c>
      <c r="G30" s="29" t="n">
        <v>8799514</v>
      </c>
      <c r="H30" s="22">
        <f>G30-E30</f>
        <v/>
      </c>
      <c r="I30" s="22">
        <f>G30-F30</f>
        <v/>
      </c>
      <c r="J30" s="7" t="inlineStr">
        <is>
          <t>FY2015 CAFR (elcerrito.gov Archive ADID 2576)</t>
        </is>
      </c>
    </row>
    <row r="31">
      <c r="A31" s="95" t="n">
        <v>2015</v>
      </c>
      <c r="B31" s="13" t="inlineStr">
        <is>
          <t>Revenue</t>
        </is>
      </c>
      <c r="C31" s="13" t="inlineStr">
        <is>
          <t>Taxes other than property</t>
        </is>
      </c>
      <c r="D31" s="13" t="inlineStr">
        <is>
          <t>Taxes other than property</t>
        </is>
      </c>
      <c r="E31" s="29" t="n">
        <v>10714894</v>
      </c>
      <c r="F31" s="29" t="n">
        <v>10595144</v>
      </c>
      <c r="G31" s="29" t="n">
        <v>10755814</v>
      </c>
      <c r="H31" s="22">
        <f>G31-E31</f>
        <v/>
      </c>
      <c r="I31" s="22">
        <f>G31-F31</f>
        <v/>
      </c>
      <c r="J31" s="7" t="inlineStr">
        <is>
          <t>FY2015 CAFR (elcerrito.gov Archive ADID 2576)</t>
        </is>
      </c>
    </row>
    <row r="32">
      <c r="A32" s="95" t="n">
        <v>2015</v>
      </c>
      <c r="B32" s="13" t="inlineStr">
        <is>
          <t>Revenue</t>
        </is>
      </c>
      <c r="C32" s="13" t="inlineStr">
        <is>
          <t>Licenses and permits</t>
        </is>
      </c>
      <c r="D32" s="13" t="inlineStr">
        <is>
          <t>Licenses and permits</t>
        </is>
      </c>
      <c r="E32" s="29" t="n">
        <v>531000</v>
      </c>
      <c r="F32" s="29" t="n">
        <v>531000</v>
      </c>
      <c r="G32" s="29" t="n">
        <v>493244</v>
      </c>
      <c r="H32" s="22">
        <f>G32-E32</f>
        <v/>
      </c>
      <c r="I32" s="22">
        <f>G32-F32</f>
        <v/>
      </c>
      <c r="J32" s="7" t="inlineStr">
        <is>
          <t>FY2015 CAFR (elcerrito.gov Archive ADID 2576)</t>
        </is>
      </c>
    </row>
    <row r="33">
      <c r="A33" s="95" t="n">
        <v>2015</v>
      </c>
      <c r="B33" s="13" t="inlineStr">
        <is>
          <t>Revenue</t>
        </is>
      </c>
      <c r="C33" s="13" t="inlineStr">
        <is>
          <t>Fines and forfeitures</t>
        </is>
      </c>
      <c r="D33" s="13" t="inlineStr">
        <is>
          <t>Fines and forfeitures</t>
        </is>
      </c>
      <c r="E33" s="29" t="n">
        <v>341500</v>
      </c>
      <c r="F33" s="29" t="n">
        <v>341500</v>
      </c>
      <c r="G33" s="29" t="n">
        <v>276759</v>
      </c>
      <c r="H33" s="22">
        <f>G33-E33</f>
        <v/>
      </c>
      <c r="I33" s="22">
        <f>G33-F33</f>
        <v/>
      </c>
      <c r="J33" s="7" t="inlineStr">
        <is>
          <t>FY2015 CAFR (elcerrito.gov Archive ADID 2576)</t>
        </is>
      </c>
    </row>
    <row r="34">
      <c r="A34" s="95" t="n">
        <v>2015</v>
      </c>
      <c r="B34" s="13" t="inlineStr">
        <is>
          <t>Revenue</t>
        </is>
      </c>
      <c r="C34" s="13" t="inlineStr">
        <is>
          <t>Use of money and property</t>
        </is>
      </c>
      <c r="D34" s="13" t="inlineStr">
        <is>
          <t>Use of money and property</t>
        </is>
      </c>
      <c r="E34" s="29" t="n">
        <v>344900</v>
      </c>
      <c r="F34" s="29" t="n">
        <v>344900</v>
      </c>
      <c r="G34" s="29" t="n">
        <v>349916</v>
      </c>
      <c r="H34" s="22">
        <f>G34-E34</f>
        <v/>
      </c>
      <c r="I34" s="22">
        <f>G34-F34</f>
        <v/>
      </c>
      <c r="J34" s="7" t="inlineStr">
        <is>
          <t>FY2015 CAFR (elcerrito.gov Archive ADID 2576)</t>
        </is>
      </c>
    </row>
    <row r="35">
      <c r="A35" s="95" t="n">
        <v>2015</v>
      </c>
      <c r="B35" s="13" t="inlineStr">
        <is>
          <t>Revenue</t>
        </is>
      </c>
      <c r="C35" s="13" t="inlineStr">
        <is>
          <t>Intergovernmental</t>
        </is>
      </c>
      <c r="D35" s="13" t="inlineStr">
        <is>
          <t>Intergovernmental</t>
        </is>
      </c>
      <c r="E35" s="29" t="n">
        <v>3484144</v>
      </c>
      <c r="F35" s="29" t="n">
        <v>3728684</v>
      </c>
      <c r="G35" s="29" t="n">
        <v>4036613</v>
      </c>
      <c r="H35" s="22">
        <f>G35-E35</f>
        <v/>
      </c>
      <c r="I35" s="22">
        <f>G35-F35</f>
        <v/>
      </c>
      <c r="J35" s="7" t="inlineStr">
        <is>
          <t>FY2015 CAFR (elcerrito.gov Archive ADID 2576)</t>
        </is>
      </c>
    </row>
    <row r="36">
      <c r="A36" s="95" t="n">
        <v>2015</v>
      </c>
      <c r="B36" s="13" t="inlineStr">
        <is>
          <t>Revenue</t>
        </is>
      </c>
      <c r="C36" s="13" t="inlineStr">
        <is>
          <t>Charges for services</t>
        </is>
      </c>
      <c r="D36" s="13" t="inlineStr">
        <is>
          <t>Charges for services</t>
        </is>
      </c>
      <c r="E36" s="29" t="n">
        <v>4410442</v>
      </c>
      <c r="F36" s="29" t="n">
        <v>4410442</v>
      </c>
      <c r="G36" s="29" t="n">
        <v>4275245</v>
      </c>
      <c r="H36" s="22">
        <f>G36-E36</f>
        <v/>
      </c>
      <c r="I36" s="22">
        <f>G36-F36</f>
        <v/>
      </c>
      <c r="J36" s="7" t="inlineStr">
        <is>
          <t>FY2015 CAFR (elcerrito.gov Archive ADID 2576)</t>
        </is>
      </c>
    </row>
    <row r="37">
      <c r="A37" s="95" t="n">
        <v>2015</v>
      </c>
      <c r="B37" s="13" t="inlineStr">
        <is>
          <t>Revenue</t>
        </is>
      </c>
      <c r="C37" s="13" t="inlineStr">
        <is>
          <t>Other revenues</t>
        </is>
      </c>
      <c r="D37" s="13" t="inlineStr">
        <is>
          <t>Other revenues</t>
        </is>
      </c>
      <c r="E37" s="29" t="n">
        <v>221647</v>
      </c>
      <c r="F37" s="29" t="n">
        <v>221647</v>
      </c>
      <c r="G37" s="29" t="n">
        <v>119300</v>
      </c>
      <c r="H37" s="22">
        <f>G37-E37</f>
        <v/>
      </c>
      <c r="I37" s="22">
        <f>G37-F37</f>
        <v/>
      </c>
      <c r="J37" s="7" t="inlineStr">
        <is>
          <t>FY2015 CAFR (elcerrito.gov Archive ADID 2576)</t>
        </is>
      </c>
    </row>
    <row r="38">
      <c r="A38" s="95" t="n">
        <v>2015</v>
      </c>
      <c r="B38" s="13" t="inlineStr">
        <is>
          <t>Expenditure</t>
        </is>
      </c>
      <c r="C38" s="13" t="inlineStr">
        <is>
          <t>City council</t>
        </is>
      </c>
      <c r="D38" s="13" t="inlineStr">
        <is>
          <t>General government</t>
        </is>
      </c>
      <c r="E38" s="29" t="n">
        <v>62113</v>
      </c>
      <c r="F38" s="29" t="n">
        <v>62113</v>
      </c>
      <c r="G38" s="29" t="n">
        <v>89694</v>
      </c>
      <c r="H38" s="22">
        <f>G38-E38</f>
        <v/>
      </c>
      <c r="I38" s="22">
        <f>G38-F38</f>
        <v/>
      </c>
      <c r="J38" s="7" t="inlineStr">
        <is>
          <t>FY2015 CAFR (elcerrito.gov Archive ADID 2576)</t>
        </is>
      </c>
    </row>
    <row r="39">
      <c r="A39" s="95" t="n">
        <v>2015</v>
      </c>
      <c r="B39" s="13" t="inlineStr">
        <is>
          <t>Expenditure</t>
        </is>
      </c>
      <c r="C39" s="13" t="inlineStr">
        <is>
          <t>City manager</t>
        </is>
      </c>
      <c r="D39" s="13" t="inlineStr">
        <is>
          <t>General government</t>
        </is>
      </c>
      <c r="E39" s="29" t="n">
        <v>771050</v>
      </c>
      <c r="F39" s="29" t="n">
        <v>771050</v>
      </c>
      <c r="G39" s="29" t="n">
        <v>819640</v>
      </c>
      <c r="H39" s="22">
        <f>G39-E39</f>
        <v/>
      </c>
      <c r="I39" s="22">
        <f>G39-F39</f>
        <v/>
      </c>
      <c r="J39" s="7" t="inlineStr">
        <is>
          <t>FY2015 CAFR (elcerrito.gov Archive ADID 2576)</t>
        </is>
      </c>
    </row>
    <row r="40">
      <c r="A40" s="95" t="n">
        <v>2015</v>
      </c>
      <c r="B40" s="13" t="inlineStr">
        <is>
          <t>Expenditure</t>
        </is>
      </c>
      <c r="C40" s="13" t="inlineStr">
        <is>
          <t>City attorney</t>
        </is>
      </c>
      <c r="D40" s="13" t="inlineStr">
        <is>
          <t>General government</t>
        </is>
      </c>
      <c r="E40" s="29" t="n">
        <v>275000</v>
      </c>
      <c r="F40" s="29" t="n">
        <v>275000</v>
      </c>
      <c r="G40" s="29" t="n">
        <v>256771</v>
      </c>
      <c r="H40" s="22">
        <f>G40-E40</f>
        <v/>
      </c>
      <c r="I40" s="22">
        <f>G40-F40</f>
        <v/>
      </c>
      <c r="J40" s="7" t="inlineStr">
        <is>
          <t>FY2015 CAFR (elcerrito.gov Archive ADID 2576)</t>
        </is>
      </c>
    </row>
    <row r="41">
      <c r="A41" s="95" t="n">
        <v>2015</v>
      </c>
      <c r="B41" s="13" t="inlineStr">
        <is>
          <t>Expenditure</t>
        </is>
      </c>
      <c r="C41" s="13" t="inlineStr">
        <is>
          <t>Financial services</t>
        </is>
      </c>
      <c r="D41" s="13" t="inlineStr">
        <is>
          <t>General government</t>
        </is>
      </c>
      <c r="E41" s="29" t="n">
        <v>960028</v>
      </c>
      <c r="F41" s="29" t="n">
        <v>960028</v>
      </c>
      <c r="G41" s="29" t="n">
        <v>1207388</v>
      </c>
      <c r="H41" s="22">
        <f>G41-E41</f>
        <v/>
      </c>
      <c r="I41" s="22">
        <f>G41-F41</f>
        <v/>
      </c>
      <c r="J41" s="7" t="inlineStr">
        <is>
          <t>FY2015 CAFR (elcerrito.gov Archive ADID 2576)</t>
        </is>
      </c>
    </row>
    <row r="42">
      <c r="A42" s="95" t="n">
        <v>2015</v>
      </c>
      <c r="B42" s="13" t="inlineStr">
        <is>
          <t>Expenditure</t>
        </is>
      </c>
      <c r="C42" s="13" t="inlineStr">
        <is>
          <t>City clerk</t>
        </is>
      </c>
      <c r="D42" s="13" t="inlineStr">
        <is>
          <t>General government</t>
        </is>
      </c>
      <c r="E42" s="29" t="n">
        <v>290948</v>
      </c>
      <c r="F42" s="29" t="n">
        <v>290948</v>
      </c>
      <c r="G42" s="29" t="n">
        <v>264054</v>
      </c>
      <c r="H42" s="22">
        <f>G42-E42</f>
        <v/>
      </c>
      <c r="I42" s="22">
        <f>G42-F42</f>
        <v/>
      </c>
      <c r="J42" s="7" t="inlineStr">
        <is>
          <t>FY2015 CAFR (elcerrito.gov Archive ADID 2576)</t>
        </is>
      </c>
    </row>
    <row r="43">
      <c r="A43" s="95" t="n">
        <v>2015</v>
      </c>
      <c r="B43" s="13" t="inlineStr">
        <is>
          <t>Expenditure</t>
        </is>
      </c>
      <c r="C43" s="13" t="inlineStr">
        <is>
          <t>Information systems</t>
        </is>
      </c>
      <c r="D43" s="13" t="inlineStr">
        <is>
          <t>General government</t>
        </is>
      </c>
      <c r="E43" s="29" t="n">
        <v>396341</v>
      </c>
      <c r="F43" s="29" t="n">
        <v>396341</v>
      </c>
      <c r="G43" s="29" t="n">
        <v>404493</v>
      </c>
      <c r="H43" s="22">
        <f>G43-E43</f>
        <v/>
      </c>
      <c r="I43" s="22">
        <f>G43-F43</f>
        <v/>
      </c>
      <c r="J43" s="7" t="inlineStr">
        <is>
          <t>FY2015 CAFR (elcerrito.gov Archive ADID 2576)</t>
        </is>
      </c>
    </row>
    <row r="44">
      <c r="A44" s="95" t="n">
        <v>2015</v>
      </c>
      <c r="B44" s="13" t="inlineStr">
        <is>
          <t>Expenditure</t>
        </is>
      </c>
      <c r="C44" s="13" t="inlineStr">
        <is>
          <t>Employee services</t>
        </is>
      </c>
      <c r="D44" s="13" t="inlineStr">
        <is>
          <t>General government</t>
        </is>
      </c>
      <c r="E44" s="29" t="n">
        <v>788793</v>
      </c>
      <c r="F44" s="29" t="n">
        <v>788793</v>
      </c>
      <c r="G44" s="29" t="n">
        <v>686417</v>
      </c>
      <c r="H44" s="22">
        <f>G44-E44</f>
        <v/>
      </c>
      <c r="I44" s="22">
        <f>G44-F44</f>
        <v/>
      </c>
      <c r="J44" s="7" t="inlineStr">
        <is>
          <t>FY2015 CAFR (elcerrito.gov Archive ADID 2576)</t>
        </is>
      </c>
    </row>
    <row r="45">
      <c r="A45" s="95" t="n">
        <v>2015</v>
      </c>
      <c r="B45" s="13" t="inlineStr">
        <is>
          <t>Expenditure</t>
        </is>
      </c>
      <c r="C45" s="13" t="inlineStr">
        <is>
          <t>Public works</t>
        </is>
      </c>
      <c r="D45" s="13" t="inlineStr">
        <is>
          <t>Public works</t>
        </is>
      </c>
      <c r="E45" s="29" t="n">
        <v>645185</v>
      </c>
      <c r="F45" s="29" t="n">
        <v>681185</v>
      </c>
      <c r="G45" s="29" t="n">
        <v>642199</v>
      </c>
      <c r="H45" s="22">
        <f>G45-E45</f>
        <v/>
      </c>
      <c r="I45" s="22">
        <f>G45-F45</f>
        <v/>
      </c>
      <c r="J45" s="7" t="inlineStr">
        <is>
          <t>FY2015 CAFR (elcerrito.gov Archive ADID 2576)</t>
        </is>
      </c>
    </row>
    <row r="46">
      <c r="A46" s="95" t="n">
        <v>2015</v>
      </c>
      <c r="B46" s="13" t="inlineStr">
        <is>
          <t>Expenditure</t>
        </is>
      </c>
      <c r="C46" s="13" t="inlineStr">
        <is>
          <t>Recreation</t>
        </is>
      </c>
      <c r="D46" s="13" t="inlineStr">
        <is>
          <t>Recreation</t>
        </is>
      </c>
      <c r="E46" s="29" t="n">
        <v>3942797</v>
      </c>
      <c r="F46" s="29" t="n">
        <v>3942797</v>
      </c>
      <c r="G46" s="29" t="n">
        <v>4153881</v>
      </c>
      <c r="H46" s="22">
        <f>G46-E46</f>
        <v/>
      </c>
      <c r="I46" s="22">
        <f>G46-F46</f>
        <v/>
      </c>
      <c r="J46" s="7" t="inlineStr">
        <is>
          <t>FY2015 CAFR (elcerrito.gov Archive ADID 2576)</t>
        </is>
      </c>
    </row>
    <row r="47">
      <c r="A47" s="95" t="n">
        <v>2015</v>
      </c>
      <c r="B47" s="13" t="inlineStr">
        <is>
          <t>Expenditure</t>
        </is>
      </c>
      <c r="C47" s="13" t="inlineStr">
        <is>
          <t>Community development</t>
        </is>
      </c>
      <c r="D47" s="13" t="inlineStr">
        <is>
          <t>Community development</t>
        </is>
      </c>
      <c r="E47" s="29" t="n">
        <v>1726262</v>
      </c>
      <c r="F47" s="29" t="n">
        <v>1726262</v>
      </c>
      <c r="G47" s="29" t="n">
        <v>1687744</v>
      </c>
      <c r="H47" s="22">
        <f>G47-E47</f>
        <v/>
      </c>
      <c r="I47" s="22">
        <f>G47-F47</f>
        <v/>
      </c>
      <c r="J47" s="7" t="inlineStr">
        <is>
          <t>FY2015 CAFR (elcerrito.gov Archive ADID 2576)</t>
        </is>
      </c>
    </row>
    <row r="48">
      <c r="A48" s="95" t="n">
        <v>2015</v>
      </c>
      <c r="B48" s="13" t="inlineStr">
        <is>
          <t>Expenditure</t>
        </is>
      </c>
      <c r="C48" s="13" t="inlineStr">
        <is>
          <t>Police</t>
        </is>
      </c>
      <c r="D48" s="13" t="inlineStr">
        <is>
          <t>Public safety - Police</t>
        </is>
      </c>
      <c r="E48" s="29" t="n">
        <v>10447226</v>
      </c>
      <c r="F48" s="29" t="n">
        <v>10437226</v>
      </c>
      <c r="G48" s="29" t="n">
        <v>9861386</v>
      </c>
      <c r="H48" s="22">
        <f>G48-E48</f>
        <v/>
      </c>
      <c r="I48" s="22">
        <f>G48-F48</f>
        <v/>
      </c>
      <c r="J48" s="7" t="inlineStr">
        <is>
          <t>FY2015 CAFR (elcerrito.gov Archive ADID 2576)</t>
        </is>
      </c>
    </row>
    <row r="49">
      <c r="A49" s="95" t="n">
        <v>2015</v>
      </c>
      <c r="B49" s="13" t="inlineStr">
        <is>
          <t>Expenditure</t>
        </is>
      </c>
      <c r="C49" s="13" t="inlineStr">
        <is>
          <t>Fire</t>
        </is>
      </c>
      <c r="D49" s="13" t="inlineStr">
        <is>
          <t>Public safety - Fire</t>
        </is>
      </c>
      <c r="E49" s="29" t="n">
        <v>8141696</v>
      </c>
      <c r="F49" s="29" t="n">
        <v>8366005</v>
      </c>
      <c r="G49" s="29" t="n">
        <v>8599206</v>
      </c>
      <c r="H49" s="22">
        <f>G49-E49</f>
        <v/>
      </c>
      <c r="I49" s="22">
        <f>G49-F49</f>
        <v/>
      </c>
      <c r="J49" s="7" t="inlineStr">
        <is>
          <t>FY2015 CAFR (elcerrito.gov Archive ADID 2576)</t>
        </is>
      </c>
    </row>
    <row r="50">
      <c r="A50" s="95" t="n">
        <v>2015</v>
      </c>
      <c r="B50" s="13" t="inlineStr">
        <is>
          <t>Expenditure</t>
        </is>
      </c>
      <c r="C50" s="13" t="inlineStr">
        <is>
          <t>Payment of sales tax to City of Richmond</t>
        </is>
      </c>
      <c r="D50" s="13" t="inlineStr">
        <is>
          <t>Payment of sales tax to City of Richmond</t>
        </is>
      </c>
      <c r="E50" s="29" t="n">
        <v>0</v>
      </c>
      <c r="F50" s="29" t="n">
        <v>0</v>
      </c>
      <c r="G50" s="29" t="n">
        <v>245599</v>
      </c>
      <c r="H50" s="22">
        <f>G50-E50</f>
        <v/>
      </c>
      <c r="I50" s="22">
        <f>G50-F50</f>
        <v/>
      </c>
      <c r="J50" s="7" t="inlineStr">
        <is>
          <t>FY2015 CAFR (elcerrito.gov Archive ADID 2576)</t>
        </is>
      </c>
    </row>
    <row r="51">
      <c r="A51" s="95" t="n">
        <v>2015</v>
      </c>
      <c r="B51" s="13" t="inlineStr">
        <is>
          <t>Expenditure</t>
        </is>
      </c>
      <c r="C51" s="13" t="inlineStr">
        <is>
          <t>Capital outlay</t>
        </is>
      </c>
      <c r="D51" s="13" t="inlineStr">
        <is>
          <t>Capital outlay</t>
        </is>
      </c>
      <c r="E51" s="29" t="n">
        <v>120000</v>
      </c>
      <c r="F51" s="29" t="n">
        <v>120000</v>
      </c>
      <c r="G51" s="29" t="n">
        <v>135283</v>
      </c>
      <c r="H51" s="22">
        <f>G51-E51</f>
        <v/>
      </c>
      <c r="I51" s="22">
        <f>G51-F51</f>
        <v/>
      </c>
      <c r="J51" s="7" t="inlineStr">
        <is>
          <t>FY2015 CAFR (elcerrito.gov Archive ADID 2576)</t>
        </is>
      </c>
    </row>
    <row r="52">
      <c r="A52" s="95" t="n">
        <v>2015</v>
      </c>
      <c r="B52" s="13" t="inlineStr">
        <is>
          <t>Expenditure</t>
        </is>
      </c>
      <c r="C52" s="13" t="inlineStr">
        <is>
          <t>Principal</t>
        </is>
      </c>
      <c r="D52" s="13" t="inlineStr">
        <is>
          <t>Debt service - principal</t>
        </is>
      </c>
      <c r="E52" s="29" t="n">
        <v>90858</v>
      </c>
      <c r="F52" s="29" t="n">
        <v>90858</v>
      </c>
      <c r="G52" s="29" t="n">
        <v>90858</v>
      </c>
      <c r="H52" s="22">
        <f>G52-E52</f>
        <v/>
      </c>
      <c r="I52" s="22">
        <f>G52-F52</f>
        <v/>
      </c>
      <c r="J52" s="7" t="inlineStr">
        <is>
          <t>FY2015 CAFR (elcerrito.gov Archive ADID 2576)</t>
        </is>
      </c>
    </row>
    <row r="53">
      <c r="A53" s="95" t="n">
        <v>2015</v>
      </c>
      <c r="B53" s="13" t="inlineStr">
        <is>
          <t>Other financing</t>
        </is>
      </c>
      <c r="C53" s="13" t="inlineStr">
        <is>
          <t>Transfers in</t>
        </is>
      </c>
      <c r="D53" s="13" t="inlineStr">
        <is>
          <t>Transfers in</t>
        </is>
      </c>
      <c r="E53" s="29" t="n">
        <v>900857</v>
      </c>
      <c r="F53" s="29" t="n">
        <v>900857</v>
      </c>
      <c r="G53" s="29" t="n">
        <v>900857</v>
      </c>
      <c r="H53" s="22">
        <f>G53-E53</f>
        <v/>
      </c>
      <c r="I53" s="22">
        <f>G53-F53</f>
        <v/>
      </c>
      <c r="J53" s="7" t="inlineStr">
        <is>
          <t>FY2015 CAFR (elcerrito.gov Archive ADID 2576)</t>
        </is>
      </c>
    </row>
    <row r="54">
      <c r="A54" s="95" t="n">
        <v>2015</v>
      </c>
      <c r="B54" s="13" t="inlineStr">
        <is>
          <t>Other financing</t>
        </is>
      </c>
      <c r="C54" s="13" t="inlineStr">
        <is>
          <t>Transfers (out)</t>
        </is>
      </c>
      <c r="D54" s="13" t="inlineStr">
        <is>
          <t>Transfers out</t>
        </is>
      </c>
      <c r="E54" s="29" t="n">
        <v>-593768</v>
      </c>
      <c r="F54" s="29" t="n">
        <v>-668607</v>
      </c>
      <c r="G54" s="29" t="n">
        <v>-671603</v>
      </c>
      <c r="H54" s="22">
        <f>G54-E54</f>
        <v/>
      </c>
      <c r="I54" s="22">
        <f>G54-F54</f>
        <v/>
      </c>
      <c r="J54" s="7" t="inlineStr">
        <is>
          <t>FY2015 CAFR (elcerrito.gov Archive ADID 2576)</t>
        </is>
      </c>
    </row>
    <row r="55">
      <c r="A55" s="95" t="n">
        <v>2016</v>
      </c>
      <c r="B55" s="13" t="inlineStr">
        <is>
          <t>Revenue</t>
        </is>
      </c>
      <c r="C55" s="13" t="inlineStr">
        <is>
          <t>Property taxes</t>
        </is>
      </c>
      <c r="D55" s="13" t="inlineStr">
        <is>
          <t>Property taxes</t>
        </is>
      </c>
      <c r="E55" s="29" t="n">
        <v>8866454</v>
      </c>
      <c r="F55" s="29" t="n">
        <v>8866454</v>
      </c>
      <c r="G55" s="29" t="n">
        <v>9843212</v>
      </c>
      <c r="H55" s="22">
        <f>G55-E55</f>
        <v/>
      </c>
      <c r="I55" s="22">
        <f>G55-F55</f>
        <v/>
      </c>
      <c r="J55" s="7" t="inlineStr">
        <is>
          <t>FY2016 CAFR (elcerrito.gov Archive ADID 3054)</t>
        </is>
      </c>
    </row>
    <row r="56">
      <c r="A56" s="95" t="n">
        <v>2016</v>
      </c>
      <c r="B56" s="13" t="inlineStr">
        <is>
          <t>Revenue</t>
        </is>
      </c>
      <c r="C56" s="13" t="inlineStr">
        <is>
          <t>Taxes other than property</t>
        </is>
      </c>
      <c r="D56" s="13" t="inlineStr">
        <is>
          <t>Taxes other than property</t>
        </is>
      </c>
      <c r="E56" s="29" t="n">
        <v>11999385</v>
      </c>
      <c r="F56" s="29" t="n">
        <v>11999385</v>
      </c>
      <c r="G56" s="29" t="n">
        <v>11601450</v>
      </c>
      <c r="H56" s="22">
        <f>G56-E56</f>
        <v/>
      </c>
      <c r="I56" s="22">
        <f>G56-F56</f>
        <v/>
      </c>
      <c r="J56" s="7" t="inlineStr">
        <is>
          <t>FY2016 CAFR (elcerrito.gov Archive ADID 3054)</t>
        </is>
      </c>
    </row>
    <row r="57">
      <c r="A57" s="95" t="n">
        <v>2016</v>
      </c>
      <c r="B57" s="13" t="inlineStr">
        <is>
          <t>Revenue</t>
        </is>
      </c>
      <c r="C57" s="13" t="inlineStr">
        <is>
          <t>Licenses and permits</t>
        </is>
      </c>
      <c r="D57" s="13" t="inlineStr">
        <is>
          <t>Licenses and permits</t>
        </is>
      </c>
      <c r="E57" s="29" t="n">
        <v>623000</v>
      </c>
      <c r="F57" s="29" t="n">
        <v>623000</v>
      </c>
      <c r="G57" s="29" t="n">
        <v>607729</v>
      </c>
      <c r="H57" s="22">
        <f>G57-E57</f>
        <v/>
      </c>
      <c r="I57" s="22">
        <f>G57-F57</f>
        <v/>
      </c>
      <c r="J57" s="7" t="inlineStr">
        <is>
          <t>FY2016 CAFR (elcerrito.gov Archive ADID 3054)</t>
        </is>
      </c>
    </row>
    <row r="58">
      <c r="A58" s="95" t="n">
        <v>2016</v>
      </c>
      <c r="B58" s="13" t="inlineStr">
        <is>
          <t>Revenue</t>
        </is>
      </c>
      <c r="C58" s="13" t="inlineStr">
        <is>
          <t>Fines and forfeitures</t>
        </is>
      </c>
      <c r="D58" s="13" t="inlineStr">
        <is>
          <t>Fines and forfeitures</t>
        </is>
      </c>
      <c r="E58" s="29" t="n">
        <v>301500</v>
      </c>
      <c r="F58" s="29" t="n">
        <v>301500</v>
      </c>
      <c r="G58" s="29" t="n">
        <v>326544</v>
      </c>
      <c r="H58" s="22">
        <f>G58-E58</f>
        <v/>
      </c>
      <c r="I58" s="22">
        <f>G58-F58</f>
        <v/>
      </c>
      <c r="J58" s="7" t="inlineStr">
        <is>
          <t>FY2016 CAFR (elcerrito.gov Archive ADID 3054)</t>
        </is>
      </c>
    </row>
    <row r="59">
      <c r="A59" s="95" t="n">
        <v>2016</v>
      </c>
      <c r="B59" s="13" t="inlineStr">
        <is>
          <t>Revenue</t>
        </is>
      </c>
      <c r="C59" s="13" t="inlineStr">
        <is>
          <t>Use of money and property</t>
        </is>
      </c>
      <c r="D59" s="13" t="inlineStr">
        <is>
          <t>Use of money and property</t>
        </is>
      </c>
      <c r="E59" s="29" t="n">
        <v>389840</v>
      </c>
      <c r="F59" s="29" t="n">
        <v>389840</v>
      </c>
      <c r="G59" s="29" t="n">
        <v>311786</v>
      </c>
      <c r="H59" s="22">
        <f>G59-E59</f>
        <v/>
      </c>
      <c r="I59" s="22">
        <f>G59-F59</f>
        <v/>
      </c>
      <c r="J59" s="7" t="inlineStr">
        <is>
          <t>FY2016 CAFR (elcerrito.gov Archive ADID 3054)</t>
        </is>
      </c>
    </row>
    <row r="60">
      <c r="A60" s="95" t="n">
        <v>2016</v>
      </c>
      <c r="B60" s="13" t="inlineStr">
        <is>
          <t>Revenue</t>
        </is>
      </c>
      <c r="C60" s="13" t="inlineStr">
        <is>
          <t>Intergovernmental</t>
        </is>
      </c>
      <c r="D60" s="13" t="inlineStr">
        <is>
          <t>Intergovernmental</t>
        </is>
      </c>
      <c r="E60" s="29" t="n">
        <v>3385186</v>
      </c>
      <c r="F60" s="29" t="n">
        <v>3385186</v>
      </c>
      <c r="G60" s="29" t="n">
        <v>3621780</v>
      </c>
      <c r="H60" s="22">
        <f>G60-E60</f>
        <v/>
      </c>
      <c r="I60" s="22">
        <f>G60-F60</f>
        <v/>
      </c>
      <c r="J60" s="7" t="inlineStr">
        <is>
          <t>FY2016 CAFR (elcerrito.gov Archive ADID 3054)</t>
        </is>
      </c>
    </row>
    <row r="61">
      <c r="A61" s="95" t="n">
        <v>2016</v>
      </c>
      <c r="B61" s="13" t="inlineStr">
        <is>
          <t>Revenue</t>
        </is>
      </c>
      <c r="C61" s="13" t="inlineStr">
        <is>
          <t>Charges for services</t>
        </is>
      </c>
      <c r="D61" s="13" t="inlineStr">
        <is>
          <t>Charges for services</t>
        </is>
      </c>
      <c r="E61" s="29" t="n">
        <v>4545320</v>
      </c>
      <c r="F61" s="29" t="n">
        <v>4545320</v>
      </c>
      <c r="G61" s="29" t="n">
        <v>4391219</v>
      </c>
      <c r="H61" s="22">
        <f>G61-E61</f>
        <v/>
      </c>
      <c r="I61" s="22">
        <f>G61-F61</f>
        <v/>
      </c>
      <c r="J61" s="7" t="inlineStr">
        <is>
          <t>FY2016 CAFR (elcerrito.gov Archive ADID 3054)</t>
        </is>
      </c>
    </row>
    <row r="62">
      <c r="A62" s="95" t="n">
        <v>2016</v>
      </c>
      <c r="B62" s="13" t="inlineStr">
        <is>
          <t>Revenue</t>
        </is>
      </c>
      <c r="C62" s="13" t="inlineStr">
        <is>
          <t>Other revenues</t>
        </is>
      </c>
      <c r="D62" s="13" t="inlineStr">
        <is>
          <t>Other revenues</t>
        </is>
      </c>
      <c r="E62" s="29" t="n">
        <v>179267</v>
      </c>
      <c r="F62" s="29" t="n">
        <v>289267</v>
      </c>
      <c r="G62" s="29" t="n">
        <v>768149</v>
      </c>
      <c r="H62" s="22">
        <f>G62-E62</f>
        <v/>
      </c>
      <c r="I62" s="22">
        <f>G62-F62</f>
        <v/>
      </c>
      <c r="J62" s="7" t="inlineStr">
        <is>
          <t>FY2016 CAFR (elcerrito.gov Archive ADID 3054)</t>
        </is>
      </c>
    </row>
    <row r="63">
      <c r="A63" s="95" t="n">
        <v>2016</v>
      </c>
      <c r="B63" s="13" t="inlineStr">
        <is>
          <t>Expenditure</t>
        </is>
      </c>
      <c r="C63" s="13" t="inlineStr">
        <is>
          <t>City council</t>
        </is>
      </c>
      <c r="D63" s="13" t="inlineStr">
        <is>
          <t>General government</t>
        </is>
      </c>
      <c r="E63" s="29" t="n">
        <v>70290</v>
      </c>
      <c r="F63" s="29" t="n">
        <v>70290</v>
      </c>
      <c r="G63" s="29" t="n">
        <v>81554</v>
      </c>
      <c r="H63" s="22">
        <f>G63-E63</f>
        <v/>
      </c>
      <c r="I63" s="22">
        <f>G63-F63</f>
        <v/>
      </c>
      <c r="J63" s="7" t="inlineStr">
        <is>
          <t>FY2016 CAFR (elcerrito.gov Archive ADID 3054)</t>
        </is>
      </c>
    </row>
    <row r="64">
      <c r="A64" s="95" t="n">
        <v>2016</v>
      </c>
      <c r="B64" s="13" t="inlineStr">
        <is>
          <t>Expenditure</t>
        </is>
      </c>
      <c r="C64" s="13" t="inlineStr">
        <is>
          <t>City manager</t>
        </is>
      </c>
      <c r="D64" s="13" t="inlineStr">
        <is>
          <t>General government</t>
        </is>
      </c>
      <c r="E64" s="29" t="n">
        <v>847627</v>
      </c>
      <c r="F64" s="29" t="n">
        <v>963627</v>
      </c>
      <c r="G64" s="29" t="n">
        <v>1041334</v>
      </c>
      <c r="H64" s="22">
        <f>G64-E64</f>
        <v/>
      </c>
      <c r="I64" s="22">
        <f>G64-F64</f>
        <v/>
      </c>
      <c r="J64" s="7" t="inlineStr">
        <is>
          <t>FY2016 CAFR (elcerrito.gov Archive ADID 3054)</t>
        </is>
      </c>
    </row>
    <row r="65">
      <c r="A65" s="95" t="n">
        <v>2016</v>
      </c>
      <c r="B65" s="13" t="inlineStr">
        <is>
          <t>Expenditure</t>
        </is>
      </c>
      <c r="C65" s="13" t="inlineStr">
        <is>
          <t>City attorney</t>
        </is>
      </c>
      <c r="D65" s="13" t="inlineStr">
        <is>
          <t>General government</t>
        </is>
      </c>
      <c r="E65" s="29" t="n">
        <v>362489</v>
      </c>
      <c r="F65" s="29" t="n">
        <v>362489</v>
      </c>
      <c r="G65" s="29" t="n">
        <v>449455</v>
      </c>
      <c r="H65" s="22">
        <f>G65-E65</f>
        <v/>
      </c>
      <c r="I65" s="22">
        <f>G65-F65</f>
        <v/>
      </c>
      <c r="J65" s="7" t="inlineStr">
        <is>
          <t>FY2016 CAFR (elcerrito.gov Archive ADID 3054)</t>
        </is>
      </c>
    </row>
    <row r="66">
      <c r="A66" s="95" t="n">
        <v>2016</v>
      </c>
      <c r="B66" s="13" t="inlineStr">
        <is>
          <t>Expenditure</t>
        </is>
      </c>
      <c r="C66" s="13" t="inlineStr">
        <is>
          <t>Financial services</t>
        </is>
      </c>
      <c r="D66" s="13" t="inlineStr">
        <is>
          <t>General government</t>
        </is>
      </c>
      <c r="E66" s="29" t="n">
        <v>999743</v>
      </c>
      <c r="F66" s="29" t="n">
        <v>999743</v>
      </c>
      <c r="G66" s="29" t="n">
        <v>1218873</v>
      </c>
      <c r="H66" s="22">
        <f>G66-E66</f>
        <v/>
      </c>
      <c r="I66" s="22">
        <f>G66-F66</f>
        <v/>
      </c>
      <c r="J66" s="7" t="inlineStr">
        <is>
          <t>FY2016 CAFR (elcerrito.gov Archive ADID 3054)</t>
        </is>
      </c>
    </row>
    <row r="67">
      <c r="A67" s="95" t="n">
        <v>2016</v>
      </c>
      <c r="B67" s="13" t="inlineStr">
        <is>
          <t>Expenditure</t>
        </is>
      </c>
      <c r="C67" s="13" t="inlineStr">
        <is>
          <t>City clerk</t>
        </is>
      </c>
      <c r="D67" s="13" t="inlineStr">
        <is>
          <t>General government</t>
        </is>
      </c>
      <c r="E67" s="29" t="n">
        <v>308095</v>
      </c>
      <c r="F67" s="29" t="n">
        <v>308095</v>
      </c>
      <c r="G67" s="29" t="n">
        <v>254275</v>
      </c>
      <c r="H67" s="22">
        <f>G67-E67</f>
        <v/>
      </c>
      <c r="I67" s="22">
        <f>G67-F67</f>
        <v/>
      </c>
      <c r="J67" s="7" t="inlineStr">
        <is>
          <t>FY2016 CAFR (elcerrito.gov Archive ADID 3054)</t>
        </is>
      </c>
    </row>
    <row r="68">
      <c r="A68" s="95" t="n">
        <v>2016</v>
      </c>
      <c r="B68" s="13" t="inlineStr">
        <is>
          <t>Expenditure</t>
        </is>
      </c>
      <c r="C68" s="13" t="inlineStr">
        <is>
          <t>Information systems</t>
        </is>
      </c>
      <c r="D68" s="13" t="inlineStr">
        <is>
          <t>General government</t>
        </is>
      </c>
      <c r="E68" s="29" t="n">
        <v>520268</v>
      </c>
      <c r="F68" s="29" t="n">
        <v>520268</v>
      </c>
      <c r="G68" s="29" t="n">
        <v>519468</v>
      </c>
      <c r="H68" s="22">
        <f>G68-E68</f>
        <v/>
      </c>
      <c r="I68" s="22">
        <f>G68-F68</f>
        <v/>
      </c>
      <c r="J68" s="7" t="inlineStr">
        <is>
          <t>FY2016 CAFR (elcerrito.gov Archive ADID 3054)</t>
        </is>
      </c>
    </row>
    <row r="69">
      <c r="A69" s="95" t="n">
        <v>2016</v>
      </c>
      <c r="B69" s="13" t="inlineStr">
        <is>
          <t>Expenditure</t>
        </is>
      </c>
      <c r="C69" s="13" t="inlineStr">
        <is>
          <t>Employee services</t>
        </is>
      </c>
      <c r="D69" s="13" t="inlineStr">
        <is>
          <t>General government</t>
        </is>
      </c>
      <c r="E69" s="29" t="n">
        <v>885625</v>
      </c>
      <c r="F69" s="29" t="n">
        <v>885625</v>
      </c>
      <c r="G69" s="29" t="n">
        <v>794079</v>
      </c>
      <c r="H69" s="22">
        <f>G69-E69</f>
        <v/>
      </c>
      <c r="I69" s="22">
        <f>G69-F69</f>
        <v/>
      </c>
      <c r="J69" s="7" t="inlineStr">
        <is>
          <t>FY2016 CAFR (elcerrito.gov Archive ADID 3054)</t>
        </is>
      </c>
    </row>
    <row r="70">
      <c r="A70" s="95" t="n">
        <v>2016</v>
      </c>
      <c r="B70" s="13" t="inlineStr">
        <is>
          <t>Expenditure</t>
        </is>
      </c>
      <c r="C70" s="13" t="inlineStr">
        <is>
          <t>Public works</t>
        </is>
      </c>
      <c r="D70" s="13" t="inlineStr">
        <is>
          <t>Public works</t>
        </is>
      </c>
      <c r="E70" s="29" t="n">
        <v>1129436</v>
      </c>
      <c r="F70" s="29" t="n">
        <v>1183884</v>
      </c>
      <c r="G70" s="29" t="n">
        <v>1116997</v>
      </c>
      <c r="H70" s="22">
        <f>G70-E70</f>
        <v/>
      </c>
      <c r="I70" s="22">
        <f>G70-F70</f>
        <v/>
      </c>
      <c r="J70" s="7" t="inlineStr">
        <is>
          <t>FY2016 CAFR (elcerrito.gov Archive ADID 3054)</t>
        </is>
      </c>
    </row>
    <row r="71">
      <c r="A71" s="95" t="n">
        <v>2016</v>
      </c>
      <c r="B71" s="13" t="inlineStr">
        <is>
          <t>Expenditure</t>
        </is>
      </c>
      <c r="C71" s="13" t="inlineStr">
        <is>
          <t>Recreation</t>
        </is>
      </c>
      <c r="D71" s="13" t="inlineStr">
        <is>
          <t>Recreation</t>
        </is>
      </c>
      <c r="E71" s="29" t="n">
        <v>4101897</v>
      </c>
      <c r="F71" s="29" t="n">
        <v>4101897</v>
      </c>
      <c r="G71" s="29" t="n">
        <v>4465879</v>
      </c>
      <c r="H71" s="22">
        <f>G71-E71</f>
        <v/>
      </c>
      <c r="I71" s="22">
        <f>G71-F71</f>
        <v/>
      </c>
      <c r="J71" s="7" t="inlineStr">
        <is>
          <t>FY2016 CAFR (elcerrito.gov Archive ADID 3054)</t>
        </is>
      </c>
    </row>
    <row r="72">
      <c r="A72" s="95" t="n">
        <v>2016</v>
      </c>
      <c r="B72" s="13" t="inlineStr">
        <is>
          <t>Expenditure</t>
        </is>
      </c>
      <c r="C72" s="13" t="inlineStr">
        <is>
          <t>Community development</t>
        </is>
      </c>
      <c r="D72" s="13" t="inlineStr">
        <is>
          <t>Community development</t>
        </is>
      </c>
      <c r="E72" s="29" t="n">
        <v>1976966</v>
      </c>
      <c r="F72" s="29" t="n">
        <v>1976966</v>
      </c>
      <c r="G72" s="29" t="n">
        <v>1769422</v>
      </c>
      <c r="H72" s="22">
        <f>G72-E72</f>
        <v/>
      </c>
      <c r="I72" s="22">
        <f>G72-F72</f>
        <v/>
      </c>
      <c r="J72" s="7" t="inlineStr">
        <is>
          <t>FY2016 CAFR (elcerrito.gov Archive ADID 3054)</t>
        </is>
      </c>
    </row>
    <row r="73">
      <c r="A73" s="95" t="n">
        <v>2016</v>
      </c>
      <c r="B73" s="13" t="inlineStr">
        <is>
          <t>Expenditure</t>
        </is>
      </c>
      <c r="C73" s="13" t="inlineStr">
        <is>
          <t>Police</t>
        </is>
      </c>
      <c r="D73" s="13" t="inlineStr">
        <is>
          <t>Public safety - Police</t>
        </is>
      </c>
      <c r="E73" s="29" t="n">
        <v>10958624</v>
      </c>
      <c r="F73" s="29" t="n">
        <v>11013624</v>
      </c>
      <c r="G73" s="29" t="n">
        <v>10348446</v>
      </c>
      <c r="H73" s="22">
        <f>G73-E73</f>
        <v/>
      </c>
      <c r="I73" s="22">
        <f>G73-F73</f>
        <v/>
      </c>
      <c r="J73" s="7" t="inlineStr">
        <is>
          <t>FY2016 CAFR (elcerrito.gov Archive ADID 3054)</t>
        </is>
      </c>
    </row>
    <row r="74">
      <c r="A74" s="95" t="n">
        <v>2016</v>
      </c>
      <c r="B74" s="13" t="inlineStr">
        <is>
          <t>Expenditure</t>
        </is>
      </c>
      <c r="C74" s="13" t="inlineStr">
        <is>
          <t>Fire</t>
        </is>
      </c>
      <c r="D74" s="13" t="inlineStr">
        <is>
          <t>Public safety - Fire</t>
        </is>
      </c>
      <c r="E74" s="29" t="n">
        <v>8061081</v>
      </c>
      <c r="F74" s="29" t="n">
        <v>8116081</v>
      </c>
      <c r="G74" s="29" t="n">
        <v>8977541</v>
      </c>
      <c r="H74" s="22">
        <f>G74-E74</f>
        <v/>
      </c>
      <c r="I74" s="22">
        <f>G74-F74</f>
        <v/>
      </c>
      <c r="J74" s="7" t="inlineStr">
        <is>
          <t>FY2016 CAFR (elcerrito.gov Archive ADID 3054)</t>
        </is>
      </c>
    </row>
    <row r="75">
      <c r="A75" s="95" t="n">
        <v>2016</v>
      </c>
      <c r="B75" s="13" t="inlineStr">
        <is>
          <t>Expenditure</t>
        </is>
      </c>
      <c r="C75" s="13" t="inlineStr">
        <is>
          <t>Capital outlay</t>
        </is>
      </c>
      <c r="D75" s="13" t="inlineStr">
        <is>
          <t>Capital outlay</t>
        </is>
      </c>
      <c r="E75" s="29" t="n">
        <v>176000</v>
      </c>
      <c r="F75" s="29" t="n">
        <v>176000</v>
      </c>
      <c r="G75" s="29" t="n">
        <v>182594</v>
      </c>
      <c r="H75" s="22">
        <f>G75-E75</f>
        <v/>
      </c>
      <c r="I75" s="22">
        <f>G75-F75</f>
        <v/>
      </c>
      <c r="J75" s="7" t="inlineStr">
        <is>
          <t>FY2016 CAFR (elcerrito.gov Archive ADID 3054)</t>
        </is>
      </c>
    </row>
    <row r="76">
      <c r="A76" s="95" t="n">
        <v>2016</v>
      </c>
      <c r="B76" s="13" t="inlineStr">
        <is>
          <t>Expenditure</t>
        </is>
      </c>
      <c r="C76" s="13" t="inlineStr">
        <is>
          <t>Principal</t>
        </is>
      </c>
      <c r="D76" s="13" t="inlineStr">
        <is>
          <t>Debt service - principal</t>
        </is>
      </c>
      <c r="E76" s="29" t="n">
        <v>93373</v>
      </c>
      <c r="F76" s="29" t="n">
        <v>93373</v>
      </c>
      <c r="G76" s="29" t="n">
        <v>93373</v>
      </c>
      <c r="H76" s="22">
        <f>G76-E76</f>
        <v/>
      </c>
      <c r="I76" s="22">
        <f>G76-F76</f>
        <v/>
      </c>
      <c r="J76" s="7" t="inlineStr">
        <is>
          <t>FY2016 CAFR (elcerrito.gov Archive ADID 3054)</t>
        </is>
      </c>
    </row>
    <row r="77">
      <c r="A77" s="95" t="n">
        <v>2016</v>
      </c>
      <c r="B77" s="13" t="inlineStr">
        <is>
          <t>Other financing</t>
        </is>
      </c>
      <c r="C77" s="13" t="inlineStr">
        <is>
          <t>Transfers in</t>
        </is>
      </c>
      <c r="D77" s="13" t="inlineStr">
        <is>
          <t>Transfers in</t>
        </is>
      </c>
      <c r="E77" s="29" t="n">
        <v>890194</v>
      </c>
      <c r="F77" s="29" t="n">
        <v>890194</v>
      </c>
      <c r="G77" s="29" t="n">
        <v>890194</v>
      </c>
      <c r="H77" s="22">
        <f>G77-E77</f>
        <v/>
      </c>
      <c r="I77" s="22">
        <f>G77-F77</f>
        <v/>
      </c>
      <c r="J77" s="7" t="inlineStr">
        <is>
          <t>FY2016 CAFR (elcerrito.gov Archive ADID 3054)</t>
        </is>
      </c>
    </row>
    <row r="78">
      <c r="A78" s="95" t="n">
        <v>2016</v>
      </c>
      <c r="B78" s="13" t="inlineStr">
        <is>
          <t>Other financing</t>
        </is>
      </c>
      <c r="C78" s="13" t="inlineStr">
        <is>
          <t>Proceeds from sale of capital assets</t>
        </is>
      </c>
      <c r="D78" s="13" t="inlineStr">
        <is>
          <t>Proceeds from sale of capital assets</t>
        </is>
      </c>
      <c r="E78" s="29" t="n">
        <v>0</v>
      </c>
      <c r="F78" s="29" t="n">
        <v>0</v>
      </c>
      <c r="G78" s="29" t="n">
        <v>7290</v>
      </c>
      <c r="H78" s="22">
        <f>G78-E78</f>
        <v/>
      </c>
      <c r="I78" s="22">
        <f>G78-F78</f>
        <v/>
      </c>
      <c r="J78" s="7" t="inlineStr">
        <is>
          <t>FY2016 CAFR (elcerrito.gov Archive ADID 3054)</t>
        </is>
      </c>
    </row>
    <row r="79">
      <c r="A79" s="95" t="n">
        <v>2016</v>
      </c>
      <c r="B79" s="13" t="inlineStr">
        <is>
          <t>Other financing</t>
        </is>
      </c>
      <c r="C79" s="13" t="inlineStr">
        <is>
          <t>Transfers (out)</t>
        </is>
      </c>
      <c r="D79" s="13" t="inlineStr">
        <is>
          <t>Transfers out</t>
        </is>
      </c>
      <c r="E79" s="29" t="n">
        <v>-711222</v>
      </c>
      <c r="F79" s="29" t="n">
        <v>-738084</v>
      </c>
      <c r="G79" s="29" t="n">
        <v>-623733</v>
      </c>
      <c r="H79" s="22">
        <f>G79-E79</f>
        <v/>
      </c>
      <c r="I79" s="22">
        <f>G79-F79</f>
        <v/>
      </c>
      <c r="J79" s="7" t="inlineStr">
        <is>
          <t>FY2016 CAFR (elcerrito.gov Archive ADID 3054)</t>
        </is>
      </c>
    </row>
    <row r="80">
      <c r="A80" s="95" t="n">
        <v>2017</v>
      </c>
      <c r="B80" s="13" t="inlineStr">
        <is>
          <t>Revenue</t>
        </is>
      </c>
      <c r="C80" s="13" t="inlineStr">
        <is>
          <t>Property taxes</t>
        </is>
      </c>
      <c r="D80" s="13" t="inlineStr">
        <is>
          <t>Property taxes</t>
        </is>
      </c>
      <c r="E80" s="29" t="n">
        <v>8857000</v>
      </c>
      <c r="F80" s="29" t="n">
        <v>8857000</v>
      </c>
      <c r="G80" s="29" t="n">
        <v>9082380</v>
      </c>
      <c r="H80" s="22">
        <f>G80-E80</f>
        <v/>
      </c>
      <c r="I80" s="22">
        <f>G80-F80</f>
        <v/>
      </c>
      <c r="J80" s="7" t="inlineStr">
        <is>
          <t>FY2017 CAFR (elcerrito.gov Archive ADID 4804)</t>
        </is>
      </c>
    </row>
    <row r="81">
      <c r="A81" s="95" t="n">
        <v>2017</v>
      </c>
      <c r="B81" s="13" t="inlineStr">
        <is>
          <t>Revenue</t>
        </is>
      </c>
      <c r="C81" s="13" t="inlineStr">
        <is>
          <t>Taxes other than property</t>
        </is>
      </c>
      <c r="D81" s="13" t="inlineStr">
        <is>
          <t>Taxes other than property</t>
        </is>
      </c>
      <c r="E81" s="29" t="n">
        <v>14528773</v>
      </c>
      <c r="F81" s="29" t="n">
        <v>14528773</v>
      </c>
      <c r="G81" s="29" t="n">
        <v>14285084</v>
      </c>
      <c r="H81" s="22">
        <f>G81-E81</f>
        <v/>
      </c>
      <c r="I81" s="22">
        <f>G81-F81</f>
        <v/>
      </c>
      <c r="J81" s="7" t="inlineStr">
        <is>
          <t>FY2017 CAFR (elcerrito.gov Archive ADID 4804)</t>
        </is>
      </c>
    </row>
    <row r="82">
      <c r="A82" s="95" t="n">
        <v>2017</v>
      </c>
      <c r="B82" s="13" t="inlineStr">
        <is>
          <t>Revenue</t>
        </is>
      </c>
      <c r="C82" s="13" t="inlineStr">
        <is>
          <t>Licenses and permits</t>
        </is>
      </c>
      <c r="D82" s="13" t="inlineStr">
        <is>
          <t>Licenses and permits</t>
        </is>
      </c>
      <c r="E82" s="29" t="n">
        <v>653690</v>
      </c>
      <c r="F82" s="29" t="n">
        <v>653690</v>
      </c>
      <c r="G82" s="29" t="n">
        <v>719843</v>
      </c>
      <c r="H82" s="22">
        <f>G82-E82</f>
        <v/>
      </c>
      <c r="I82" s="22">
        <f>G82-F82</f>
        <v/>
      </c>
      <c r="J82" s="7" t="inlineStr">
        <is>
          <t>FY2017 CAFR (elcerrito.gov Archive ADID 4804)</t>
        </is>
      </c>
    </row>
    <row r="83">
      <c r="A83" s="95" t="n">
        <v>2017</v>
      </c>
      <c r="B83" s="13" t="inlineStr">
        <is>
          <t>Revenue</t>
        </is>
      </c>
      <c r="C83" s="13" t="inlineStr">
        <is>
          <t>Fines and penalties</t>
        </is>
      </c>
      <c r="D83" s="13" t="inlineStr">
        <is>
          <t>Fines and forfeitures</t>
        </is>
      </c>
      <c r="E83" s="29" t="n">
        <v>326000</v>
      </c>
      <c r="F83" s="29" t="n">
        <v>326000</v>
      </c>
      <c r="G83" s="29" t="n">
        <v>350855</v>
      </c>
      <c r="H83" s="22">
        <f>G83-E83</f>
        <v/>
      </c>
      <c r="I83" s="22">
        <f>G83-F83</f>
        <v/>
      </c>
      <c r="J83" s="7" t="inlineStr">
        <is>
          <t>FY2017 CAFR (elcerrito.gov Archive ADID 4804)</t>
        </is>
      </c>
    </row>
    <row r="84">
      <c r="A84" s="95" t="n">
        <v>2017</v>
      </c>
      <c r="B84" s="13" t="inlineStr">
        <is>
          <t>Revenue</t>
        </is>
      </c>
      <c r="C84" s="13" t="inlineStr">
        <is>
          <t>Use of money and property</t>
        </is>
      </c>
      <c r="D84" s="13" t="inlineStr">
        <is>
          <t>Use of money and property</t>
        </is>
      </c>
      <c r="E84" s="29" t="n">
        <v>391996</v>
      </c>
      <c r="F84" s="29" t="n">
        <v>391996</v>
      </c>
      <c r="G84" s="29" t="n">
        <v>345665</v>
      </c>
      <c r="H84" s="22">
        <f>G84-E84</f>
        <v/>
      </c>
      <c r="I84" s="22">
        <f>G84-F84</f>
        <v/>
      </c>
      <c r="J84" s="7" t="inlineStr">
        <is>
          <t>FY2017 CAFR (elcerrito.gov Archive ADID 4804)</t>
        </is>
      </c>
    </row>
    <row r="85">
      <c r="A85" s="95" t="n">
        <v>2017</v>
      </c>
      <c r="B85" s="13" t="inlineStr">
        <is>
          <t>Revenue</t>
        </is>
      </c>
      <c r="C85" s="13" t="inlineStr">
        <is>
          <t>Intergovernmental revenues</t>
        </is>
      </c>
      <c r="D85" s="13" t="inlineStr">
        <is>
          <t>Intergovernmental</t>
        </is>
      </c>
      <c r="E85" s="29" t="n">
        <v>3163805</v>
      </c>
      <c r="F85" s="29" t="n">
        <v>3163805</v>
      </c>
      <c r="G85" s="29" t="n">
        <v>3373887</v>
      </c>
      <c r="H85" s="22">
        <f>G85-E85</f>
        <v/>
      </c>
      <c r="I85" s="22">
        <f>G85-F85</f>
        <v/>
      </c>
      <c r="J85" s="7" t="inlineStr">
        <is>
          <t>FY2017 CAFR (elcerrito.gov Archive ADID 4804)</t>
        </is>
      </c>
    </row>
    <row r="86">
      <c r="A86" s="95" t="n">
        <v>2017</v>
      </c>
      <c r="B86" s="13" t="inlineStr">
        <is>
          <t>Revenue</t>
        </is>
      </c>
      <c r="C86" s="13" t="inlineStr">
        <is>
          <t>Charges for services</t>
        </is>
      </c>
      <c r="D86" s="13" t="inlineStr">
        <is>
          <t>Charges for services</t>
        </is>
      </c>
      <c r="E86" s="29" t="n">
        <v>5465406</v>
      </c>
      <c r="F86" s="29" t="n">
        <v>5465406</v>
      </c>
      <c r="G86" s="29" t="n">
        <v>5740974</v>
      </c>
      <c r="H86" s="22">
        <f>G86-E86</f>
        <v/>
      </c>
      <c r="I86" s="22">
        <f>G86-F86</f>
        <v/>
      </c>
      <c r="J86" s="7" t="inlineStr">
        <is>
          <t>FY2017 CAFR (elcerrito.gov Archive ADID 4804)</t>
        </is>
      </c>
    </row>
    <row r="87">
      <c r="A87" s="95" t="n">
        <v>2017</v>
      </c>
      <c r="B87" s="13" t="inlineStr">
        <is>
          <t>Revenue</t>
        </is>
      </c>
      <c r="C87" s="13" t="inlineStr">
        <is>
          <t>Other revenues</t>
        </is>
      </c>
      <c r="D87" s="13" t="inlineStr">
        <is>
          <t>Other revenues</t>
        </is>
      </c>
      <c r="E87" s="29" t="n">
        <v>466320</v>
      </c>
      <c r="F87" s="29" t="n">
        <v>466320</v>
      </c>
      <c r="G87" s="29" t="n">
        <v>577753</v>
      </c>
      <c r="H87" s="22">
        <f>G87-E87</f>
        <v/>
      </c>
      <c r="I87" s="22">
        <f>G87-F87</f>
        <v/>
      </c>
      <c r="J87" s="7" t="inlineStr">
        <is>
          <t>FY2017 CAFR (elcerrito.gov Archive ADID 4804)</t>
        </is>
      </c>
    </row>
    <row r="88">
      <c r="A88" s="95" t="n">
        <v>2017</v>
      </c>
      <c r="B88" s="13" t="inlineStr">
        <is>
          <t>Expenditure</t>
        </is>
      </c>
      <c r="C88" s="13" t="inlineStr">
        <is>
          <t>City council</t>
        </is>
      </c>
      <c r="D88" s="13" t="inlineStr">
        <is>
          <t>General government</t>
        </is>
      </c>
      <c r="E88" s="29" t="n">
        <v>69485</v>
      </c>
      <c r="F88" s="29" t="n">
        <v>69485</v>
      </c>
      <c r="G88" s="29" t="n">
        <v>104158</v>
      </c>
      <c r="H88" s="22">
        <f>G88-E88</f>
        <v/>
      </c>
      <c r="I88" s="22">
        <f>G88-F88</f>
        <v/>
      </c>
      <c r="J88" s="7" t="inlineStr">
        <is>
          <t>FY2017 CAFR (elcerrito.gov Archive ADID 4804)</t>
        </is>
      </c>
    </row>
    <row r="89">
      <c r="A89" s="95" t="n">
        <v>2017</v>
      </c>
      <c r="B89" s="13" t="inlineStr">
        <is>
          <t>Expenditure</t>
        </is>
      </c>
      <c r="C89" s="13" t="inlineStr">
        <is>
          <t>City manager</t>
        </is>
      </c>
      <c r="D89" s="13" t="inlineStr">
        <is>
          <t>General government</t>
        </is>
      </c>
      <c r="E89" s="29" t="n">
        <v>1004035</v>
      </c>
      <c r="F89" s="29" t="n">
        <v>1067661</v>
      </c>
      <c r="G89" s="29" t="n">
        <v>972422</v>
      </c>
      <c r="H89" s="22">
        <f>G89-E89</f>
        <v/>
      </c>
      <c r="I89" s="22">
        <f>G89-F89</f>
        <v/>
      </c>
      <c r="J89" s="7" t="inlineStr">
        <is>
          <t>FY2017 CAFR (elcerrito.gov Archive ADID 4804)</t>
        </is>
      </c>
    </row>
    <row r="90">
      <c r="A90" s="95" t="n">
        <v>2017</v>
      </c>
      <c r="B90" s="13" t="inlineStr">
        <is>
          <t>Expenditure</t>
        </is>
      </c>
      <c r="C90" s="13" t="inlineStr">
        <is>
          <t>City attorney</t>
        </is>
      </c>
      <c r="D90" s="13" t="inlineStr">
        <is>
          <t>General government</t>
        </is>
      </c>
      <c r="E90" s="29" t="n">
        <v>300000</v>
      </c>
      <c r="F90" s="29" t="n">
        <v>300000</v>
      </c>
      <c r="G90" s="29" t="n">
        <v>393196</v>
      </c>
      <c r="H90" s="22">
        <f>G90-E90</f>
        <v/>
      </c>
      <c r="I90" s="22">
        <f>G90-F90</f>
        <v/>
      </c>
      <c r="J90" s="7" t="inlineStr">
        <is>
          <t>FY2017 CAFR (elcerrito.gov Archive ADID 4804)</t>
        </is>
      </c>
    </row>
    <row r="91">
      <c r="A91" s="95" t="n">
        <v>2017</v>
      </c>
      <c r="B91" s="13" t="inlineStr">
        <is>
          <t>Expenditure</t>
        </is>
      </c>
      <c r="C91" s="13" t="inlineStr">
        <is>
          <t>Financial services</t>
        </is>
      </c>
      <c r="D91" s="13" t="inlineStr">
        <is>
          <t>General government</t>
        </is>
      </c>
      <c r="E91" s="29" t="n">
        <v>2067511</v>
      </c>
      <c r="F91" s="29" t="n">
        <v>1196185</v>
      </c>
      <c r="G91" s="29" t="n">
        <v>1365523</v>
      </c>
      <c r="H91" s="22">
        <f>G91-E91</f>
        <v/>
      </c>
      <c r="I91" s="22">
        <f>G91-F91</f>
        <v/>
      </c>
      <c r="J91" s="7" t="inlineStr">
        <is>
          <t>FY2017 CAFR (elcerrito.gov Archive ADID 4804)</t>
        </is>
      </c>
    </row>
    <row r="92">
      <c r="A92" s="95" t="n">
        <v>2017</v>
      </c>
      <c r="B92" s="13" t="inlineStr">
        <is>
          <t>Expenditure</t>
        </is>
      </c>
      <c r="C92" s="13" t="inlineStr">
        <is>
          <t>City clerk</t>
        </is>
      </c>
      <c r="D92" s="13" t="inlineStr">
        <is>
          <t>General government</t>
        </is>
      </c>
      <c r="E92" s="29" t="n">
        <v>334758</v>
      </c>
      <c r="F92" s="29" t="n">
        <v>350376</v>
      </c>
      <c r="G92" s="29" t="n">
        <v>287395</v>
      </c>
      <c r="H92" s="22">
        <f>G92-E92</f>
        <v/>
      </c>
      <c r="I92" s="22">
        <f>G92-F92</f>
        <v/>
      </c>
      <c r="J92" s="7" t="inlineStr">
        <is>
          <t>FY2017 CAFR (elcerrito.gov Archive ADID 4804)</t>
        </is>
      </c>
    </row>
    <row r="93">
      <c r="A93" s="95" t="n">
        <v>2017</v>
      </c>
      <c r="B93" s="13" t="inlineStr">
        <is>
          <t>Expenditure</t>
        </is>
      </c>
      <c r="C93" s="13" t="inlineStr">
        <is>
          <t>Information systems</t>
        </is>
      </c>
      <c r="D93" s="13" t="inlineStr">
        <is>
          <t>General government</t>
        </is>
      </c>
      <c r="E93" s="29" t="n">
        <v>606492</v>
      </c>
      <c r="F93" s="29" t="n">
        <v>606492</v>
      </c>
      <c r="G93" s="29" t="n">
        <v>595204</v>
      </c>
      <c r="H93" s="22">
        <f>G93-E93</f>
        <v/>
      </c>
      <c r="I93" s="22">
        <f>G93-F93</f>
        <v/>
      </c>
      <c r="J93" s="7" t="inlineStr">
        <is>
          <t>FY2017 CAFR (elcerrito.gov Archive ADID 4804)</t>
        </is>
      </c>
    </row>
    <row r="94">
      <c r="A94" s="95" t="n">
        <v>2017</v>
      </c>
      <c r="B94" s="13" t="inlineStr">
        <is>
          <t>Expenditure</t>
        </is>
      </c>
      <c r="C94" s="13" t="inlineStr">
        <is>
          <t>Employee services</t>
        </is>
      </c>
      <c r="D94" s="13" t="inlineStr">
        <is>
          <t>General government</t>
        </is>
      </c>
      <c r="E94" s="29" t="n">
        <v>1019392</v>
      </c>
      <c r="F94" s="29" t="n">
        <v>1021709</v>
      </c>
      <c r="G94" s="29" t="n">
        <v>1209586</v>
      </c>
      <c r="H94" s="22">
        <f>G94-E94</f>
        <v/>
      </c>
      <c r="I94" s="22">
        <f>G94-F94</f>
        <v/>
      </c>
      <c r="J94" s="7" t="inlineStr">
        <is>
          <t>FY2017 CAFR (elcerrito.gov Archive ADID 4804)</t>
        </is>
      </c>
    </row>
    <row r="95">
      <c r="A95" s="95" t="n">
        <v>2017</v>
      </c>
      <c r="B95" s="13" t="inlineStr">
        <is>
          <t>Expenditure</t>
        </is>
      </c>
      <c r="C95" s="13" t="inlineStr">
        <is>
          <t>Public works</t>
        </is>
      </c>
      <c r="D95" s="13" t="inlineStr">
        <is>
          <t>Public works</t>
        </is>
      </c>
      <c r="E95" s="29" t="n">
        <v>1451343</v>
      </c>
      <c r="F95" s="29" t="n">
        <v>1531184</v>
      </c>
      <c r="G95" s="29" t="n">
        <v>1443104</v>
      </c>
      <c r="H95" s="22">
        <f>G95-E95</f>
        <v/>
      </c>
      <c r="I95" s="22">
        <f>G95-F95</f>
        <v/>
      </c>
      <c r="J95" s="7" t="inlineStr">
        <is>
          <t>FY2017 CAFR (elcerrito.gov Archive ADID 4804)</t>
        </is>
      </c>
    </row>
    <row r="96">
      <c r="A96" s="95" t="n">
        <v>2017</v>
      </c>
      <c r="B96" s="13" t="inlineStr">
        <is>
          <t>Expenditure</t>
        </is>
      </c>
      <c r="C96" s="13" t="inlineStr">
        <is>
          <t>Recreation</t>
        </is>
      </c>
      <c r="D96" s="13" t="inlineStr">
        <is>
          <t>Recreation</t>
        </is>
      </c>
      <c r="E96" s="29" t="n">
        <v>4496140</v>
      </c>
      <c r="F96" s="29" t="n">
        <v>4508470</v>
      </c>
      <c r="G96" s="29" t="n">
        <v>4818238</v>
      </c>
      <c r="H96" s="22">
        <f>G96-E96</f>
        <v/>
      </c>
      <c r="I96" s="22">
        <f>G96-F96</f>
        <v/>
      </c>
      <c r="J96" s="7" t="inlineStr">
        <is>
          <t>FY2017 CAFR (elcerrito.gov Archive ADID 4804)</t>
        </is>
      </c>
    </row>
    <row r="97">
      <c r="A97" s="95" t="n">
        <v>2017</v>
      </c>
      <c r="B97" s="13" t="inlineStr">
        <is>
          <t>Expenditure</t>
        </is>
      </c>
      <c r="C97" s="13" t="inlineStr">
        <is>
          <t>Community development</t>
        </is>
      </c>
      <c r="D97" s="13" t="inlineStr">
        <is>
          <t>Community development</t>
        </is>
      </c>
      <c r="E97" s="29" t="n">
        <v>2107493</v>
      </c>
      <c r="F97" s="29" t="n">
        <v>2107558</v>
      </c>
      <c r="G97" s="29" t="n">
        <v>2157162</v>
      </c>
      <c r="H97" s="22">
        <f>G97-E97</f>
        <v/>
      </c>
      <c r="I97" s="22">
        <f>G97-F97</f>
        <v/>
      </c>
      <c r="J97" s="7" t="inlineStr">
        <is>
          <t>FY2017 CAFR (elcerrito.gov Archive ADID 4804)</t>
        </is>
      </c>
    </row>
    <row r="98">
      <c r="A98" s="95" t="n">
        <v>2017</v>
      </c>
      <c r="B98" s="13" t="inlineStr">
        <is>
          <t>Expenditure</t>
        </is>
      </c>
      <c r="C98" s="13" t="inlineStr">
        <is>
          <t>Police</t>
        </is>
      </c>
      <c r="D98" s="13" t="inlineStr">
        <is>
          <t>Public safety - Police</t>
        </is>
      </c>
      <c r="E98" s="29" t="n">
        <v>10869441</v>
      </c>
      <c r="F98" s="29" t="n">
        <v>10871879</v>
      </c>
      <c r="G98" s="29" t="n">
        <v>10758096</v>
      </c>
      <c r="H98" s="22">
        <f>G98-E98</f>
        <v/>
      </c>
      <c r="I98" s="22">
        <f>G98-F98</f>
        <v/>
      </c>
      <c r="J98" s="7" t="inlineStr">
        <is>
          <t>FY2017 CAFR (elcerrito.gov Archive ADID 4804)</t>
        </is>
      </c>
    </row>
    <row r="99">
      <c r="A99" s="95" t="n">
        <v>2017</v>
      </c>
      <c r="B99" s="13" t="inlineStr">
        <is>
          <t>Expenditure</t>
        </is>
      </c>
      <c r="C99" s="13" t="inlineStr">
        <is>
          <t>Fire</t>
        </is>
      </c>
      <c r="D99" s="13" t="inlineStr">
        <is>
          <t>Public safety - Fire</t>
        </is>
      </c>
      <c r="E99" s="29" t="n">
        <v>8458550</v>
      </c>
      <c r="F99" s="29" t="n">
        <v>8519486</v>
      </c>
      <c r="G99" s="29" t="n">
        <v>9518949</v>
      </c>
      <c r="H99" s="22">
        <f>G99-E99</f>
        <v/>
      </c>
      <c r="I99" s="22">
        <f>G99-F99</f>
        <v/>
      </c>
      <c r="J99" s="7" t="inlineStr">
        <is>
          <t>FY2017 CAFR (elcerrito.gov Archive ADID 4804)</t>
        </is>
      </c>
    </row>
    <row r="100">
      <c r="A100" s="95" t="n">
        <v>2017</v>
      </c>
      <c r="B100" s="13" t="inlineStr">
        <is>
          <t>Expenditure</t>
        </is>
      </c>
      <c r="C100" s="13" t="inlineStr">
        <is>
          <t>Capital outlay</t>
        </is>
      </c>
      <c r="D100" s="13" t="inlineStr">
        <is>
          <t>Capital outlay</t>
        </is>
      </c>
      <c r="E100" s="29" t="n">
        <v>164000</v>
      </c>
      <c r="F100" s="29" t="n">
        <v>164000</v>
      </c>
      <c r="G100" s="29" t="n">
        <v>45770</v>
      </c>
      <c r="H100" s="22">
        <f>G100-E100</f>
        <v/>
      </c>
      <c r="I100" s="22">
        <f>G100-F100</f>
        <v/>
      </c>
      <c r="J100" s="7" t="inlineStr">
        <is>
          <t>FY2017 CAFR (elcerrito.gov Archive ADID 4804)</t>
        </is>
      </c>
    </row>
    <row r="101">
      <c r="A101" s="95" t="n">
        <v>2017</v>
      </c>
      <c r="B101" s="13" t="inlineStr">
        <is>
          <t>Expenditure</t>
        </is>
      </c>
      <c r="C101" s="13" t="inlineStr">
        <is>
          <t>Principal</t>
        </is>
      </c>
      <c r="D101" s="13" t="inlineStr">
        <is>
          <t>Debt service - principal</t>
        </is>
      </c>
      <c r="E101" s="29" t="n">
        <v>95959</v>
      </c>
      <c r="F101" s="29" t="n">
        <v>95959</v>
      </c>
      <c r="G101" s="29" t="n">
        <v>95959</v>
      </c>
      <c r="H101" s="22">
        <f>G101-E101</f>
        <v/>
      </c>
      <c r="I101" s="22">
        <f>G101-F101</f>
        <v/>
      </c>
      <c r="J101" s="7" t="inlineStr">
        <is>
          <t>FY2017 CAFR (elcerrito.gov Archive ADID 4804)</t>
        </is>
      </c>
    </row>
    <row r="102">
      <c r="A102" s="95" t="n">
        <v>2017</v>
      </c>
      <c r="B102" s="13" t="inlineStr">
        <is>
          <t>Expenditure</t>
        </is>
      </c>
      <c r="C102" s="13" t="inlineStr">
        <is>
          <t>Interest and fiscal charges</t>
        </is>
      </c>
      <c r="D102" s="13" t="inlineStr">
        <is>
          <t>Debt service - interest</t>
        </is>
      </c>
      <c r="E102" s="29" t="n">
        <v>34514</v>
      </c>
      <c r="F102" s="29" t="n">
        <v>34514</v>
      </c>
      <c r="G102" s="29" t="n">
        <v>106389</v>
      </c>
      <c r="H102" s="22">
        <f>G102-E102</f>
        <v/>
      </c>
      <c r="I102" s="22">
        <f>G102-F102</f>
        <v/>
      </c>
      <c r="J102" s="7" t="inlineStr">
        <is>
          <t>FY2017 CAFR (elcerrito.gov Archive ADID 4804)</t>
        </is>
      </c>
    </row>
    <row r="103">
      <c r="A103" s="95" t="n">
        <v>2017</v>
      </c>
      <c r="B103" s="13" t="inlineStr">
        <is>
          <t>Other financing</t>
        </is>
      </c>
      <c r="C103" s="13" t="inlineStr">
        <is>
          <t>Transfers in</t>
        </is>
      </c>
      <c r="D103" s="13" t="inlineStr">
        <is>
          <t>Transfers in</t>
        </is>
      </c>
      <c r="E103" s="29" t="n">
        <v>54583</v>
      </c>
      <c r="F103" s="29" t="n">
        <v>54583</v>
      </c>
      <c r="G103" s="29" t="n">
        <v>54583</v>
      </c>
      <c r="H103" s="22">
        <f>G103-E103</f>
        <v/>
      </c>
      <c r="I103" s="22">
        <f>G103-F103</f>
        <v/>
      </c>
      <c r="J103" s="7" t="inlineStr">
        <is>
          <t>FY2017 CAFR (elcerrito.gov Archive ADID 4804)</t>
        </is>
      </c>
    </row>
    <row r="104">
      <c r="A104" s="95" t="n">
        <v>2017</v>
      </c>
      <c r="B104" s="13" t="inlineStr">
        <is>
          <t>Other financing</t>
        </is>
      </c>
      <c r="C104" s="13" t="inlineStr">
        <is>
          <t>Transfers (out)</t>
        </is>
      </c>
      <c r="D104" s="13" t="inlineStr">
        <is>
          <t>Transfers out</t>
        </is>
      </c>
      <c r="E104" s="29" t="n">
        <v>-624102</v>
      </c>
      <c r="F104" s="29" t="n">
        <v>-624102</v>
      </c>
      <c r="G104" s="29" t="n">
        <v>-456668</v>
      </c>
      <c r="H104" s="22">
        <f>G104-E104</f>
        <v/>
      </c>
      <c r="I104" s="22">
        <f>G104-F104</f>
        <v/>
      </c>
      <c r="J104" s="7" t="inlineStr">
        <is>
          <t>FY2017 CAFR (elcerrito.gov Archive ADID 4804)</t>
        </is>
      </c>
    </row>
    <row r="105">
      <c r="A105" s="95" t="n">
        <v>2018</v>
      </c>
      <c r="B105" s="13" t="inlineStr">
        <is>
          <t>Revenue</t>
        </is>
      </c>
      <c r="C105" s="13" t="inlineStr">
        <is>
          <t>Property taxes</t>
        </is>
      </c>
      <c r="D105" s="13" t="inlineStr">
        <is>
          <t>Property taxes</t>
        </is>
      </c>
      <c r="E105" s="29" t="n">
        <v>9604960</v>
      </c>
      <c r="F105" s="29" t="n">
        <v>9854960</v>
      </c>
      <c r="G105" s="29" t="n">
        <v>9486999</v>
      </c>
      <c r="H105" s="22">
        <f>G105-E105</f>
        <v/>
      </c>
      <c r="I105" s="22">
        <f>G105-F105</f>
        <v/>
      </c>
      <c r="J105" s="7" t="inlineStr">
        <is>
          <t>FY2018 CAFR (elcerrito.gov Archive ADID 5118) - transcribed from page image (p.92)</t>
        </is>
      </c>
    </row>
    <row r="106">
      <c r="A106" s="95" t="n">
        <v>2018</v>
      </c>
      <c r="B106" s="13" t="inlineStr">
        <is>
          <t>Revenue</t>
        </is>
      </c>
      <c r="C106" s="13" t="inlineStr">
        <is>
          <t>Taxes other than property</t>
        </is>
      </c>
      <c r="D106" s="13" t="inlineStr">
        <is>
          <t>Taxes other than property</t>
        </is>
      </c>
      <c r="E106" s="29" t="n">
        <v>14968336</v>
      </c>
      <c r="F106" s="29" t="n">
        <v>15278336</v>
      </c>
      <c r="G106" s="29" t="n">
        <v>14342758</v>
      </c>
      <c r="H106" s="22">
        <f>G106-E106</f>
        <v/>
      </c>
      <c r="I106" s="22">
        <f>G106-F106</f>
        <v/>
      </c>
      <c r="J106" s="7" t="inlineStr">
        <is>
          <t>FY2018 CAFR (elcerrito.gov Archive ADID 5118) - transcribed from page image (p.92)</t>
        </is>
      </c>
    </row>
    <row r="107">
      <c r="A107" s="95" t="n">
        <v>2018</v>
      </c>
      <c r="B107" s="13" t="inlineStr">
        <is>
          <t>Revenue</t>
        </is>
      </c>
      <c r="C107" s="13" t="inlineStr">
        <is>
          <t>Licenses and permits</t>
        </is>
      </c>
      <c r="D107" s="13" t="inlineStr">
        <is>
          <t>Licenses and permits</t>
        </is>
      </c>
      <c r="E107" s="29" t="n">
        <v>686375</v>
      </c>
      <c r="F107" s="29" t="n">
        <v>886375</v>
      </c>
      <c r="G107" s="29" t="n">
        <v>765706</v>
      </c>
      <c r="H107" s="22">
        <f>G107-E107</f>
        <v/>
      </c>
      <c r="I107" s="22">
        <f>G107-F107</f>
        <v/>
      </c>
      <c r="J107" s="7" t="inlineStr">
        <is>
          <t>FY2018 CAFR (elcerrito.gov Archive ADID 5118) - transcribed from page image (p.92)</t>
        </is>
      </c>
    </row>
    <row r="108">
      <c r="A108" s="95" t="n">
        <v>2018</v>
      </c>
      <c r="B108" s="13" t="inlineStr">
        <is>
          <t>Revenue</t>
        </is>
      </c>
      <c r="C108" s="13" t="inlineStr">
        <is>
          <t>Fines and penalties</t>
        </is>
      </c>
      <c r="D108" s="13" t="inlineStr">
        <is>
          <t>Fines and forfeitures</t>
        </is>
      </c>
      <c r="E108" s="29" t="n">
        <v>341980</v>
      </c>
      <c r="F108" s="29" t="n">
        <v>241980</v>
      </c>
      <c r="G108" s="29" t="n">
        <v>222173</v>
      </c>
      <c r="H108" s="22">
        <f>G108-E108</f>
        <v/>
      </c>
      <c r="I108" s="22">
        <f>G108-F108</f>
        <v/>
      </c>
      <c r="J108" s="7" t="inlineStr">
        <is>
          <t>FY2018 CAFR (elcerrito.gov Archive ADID 5118) - transcribed from page image (p.92)</t>
        </is>
      </c>
    </row>
    <row r="109">
      <c r="A109" s="95" t="n">
        <v>2018</v>
      </c>
      <c r="B109" s="13" t="inlineStr">
        <is>
          <t>Revenue</t>
        </is>
      </c>
      <c r="C109" s="13" t="inlineStr">
        <is>
          <t>Use of money and property</t>
        </is>
      </c>
      <c r="D109" s="13" t="inlineStr">
        <is>
          <t>Use of money and property</t>
        </is>
      </c>
      <c r="E109" s="29" t="n">
        <v>403756</v>
      </c>
      <c r="F109" s="29" t="n">
        <v>403756</v>
      </c>
      <c r="G109" s="29" t="n">
        <v>373954</v>
      </c>
      <c r="H109" s="22">
        <f>G109-E109</f>
        <v/>
      </c>
      <c r="I109" s="22">
        <f>G109-F109</f>
        <v/>
      </c>
      <c r="J109" s="7" t="inlineStr">
        <is>
          <t>FY2018 CAFR (elcerrito.gov Archive ADID 5118) - transcribed from page image (p.92)</t>
        </is>
      </c>
    </row>
    <row r="110">
      <c r="A110" s="95" t="n">
        <v>2018</v>
      </c>
      <c r="B110" s="13" t="inlineStr">
        <is>
          <t>Revenue</t>
        </is>
      </c>
      <c r="C110" s="13" t="inlineStr">
        <is>
          <t>Intergovernmental revenues</t>
        </is>
      </c>
      <c r="D110" s="13" t="inlineStr">
        <is>
          <t>Intergovernmental</t>
        </is>
      </c>
      <c r="E110" s="29" t="n">
        <v>3320135</v>
      </c>
      <c r="F110" s="29" t="n">
        <v>4010135</v>
      </c>
      <c r="G110" s="29" t="n">
        <v>4115543</v>
      </c>
      <c r="H110" s="22">
        <f>G110-E110</f>
        <v/>
      </c>
      <c r="I110" s="22">
        <f>G110-F110</f>
        <v/>
      </c>
      <c r="J110" s="7" t="inlineStr">
        <is>
          <t>FY2018 CAFR (elcerrito.gov Archive ADID 5118) - transcribed from page image (p.92)</t>
        </is>
      </c>
    </row>
    <row r="111">
      <c r="A111" s="95" t="n">
        <v>2018</v>
      </c>
      <c r="B111" s="13" t="inlineStr">
        <is>
          <t>Revenue</t>
        </is>
      </c>
      <c r="C111" s="13" t="inlineStr">
        <is>
          <t>Charges for services</t>
        </is>
      </c>
      <c r="D111" s="13" t="inlineStr">
        <is>
          <t>Charges for services</t>
        </is>
      </c>
      <c r="E111" s="29" t="n">
        <v>5802279</v>
      </c>
      <c r="F111" s="29" t="n">
        <v>5852279</v>
      </c>
      <c r="G111" s="29" t="n">
        <v>6099394</v>
      </c>
      <c r="H111" s="22">
        <f>G111-E111</f>
        <v/>
      </c>
      <c r="I111" s="22">
        <f>G111-F111</f>
        <v/>
      </c>
      <c r="J111" s="7" t="inlineStr">
        <is>
          <t>FY2018 CAFR (elcerrito.gov Archive ADID 5118) - transcribed from page image (p.92)</t>
        </is>
      </c>
    </row>
    <row r="112">
      <c r="A112" s="95" t="n">
        <v>2018</v>
      </c>
      <c r="B112" s="13" t="inlineStr">
        <is>
          <t>Revenue</t>
        </is>
      </c>
      <c r="C112" s="13" t="inlineStr">
        <is>
          <t>Other revenues</t>
        </is>
      </c>
      <c r="D112" s="13" t="inlineStr">
        <is>
          <t>Other revenues</t>
        </is>
      </c>
      <c r="E112" s="29" t="n">
        <v>300806</v>
      </c>
      <c r="F112" s="29" t="n">
        <v>300806</v>
      </c>
      <c r="G112" s="29" t="n">
        <v>377394</v>
      </c>
      <c r="H112" s="22">
        <f>G112-E112</f>
        <v/>
      </c>
      <c r="I112" s="22">
        <f>G112-F112</f>
        <v/>
      </c>
      <c r="J112" s="7" t="inlineStr">
        <is>
          <t>FY2018 CAFR (elcerrito.gov Archive ADID 5118) - transcribed from page image (p.92)</t>
        </is>
      </c>
    </row>
    <row r="113">
      <c r="A113" s="95" t="n">
        <v>2018</v>
      </c>
      <c r="B113" s="13" t="inlineStr">
        <is>
          <t>Expenditure</t>
        </is>
      </c>
      <c r="C113" s="13" t="inlineStr">
        <is>
          <t>City council</t>
        </is>
      </c>
      <c r="D113" s="13" t="inlineStr">
        <is>
          <t>General government</t>
        </is>
      </c>
      <c r="E113" s="29" t="n">
        <v>70597</v>
      </c>
      <c r="F113" s="29" t="n">
        <v>70597</v>
      </c>
      <c r="G113" s="29" t="n">
        <v>111203</v>
      </c>
      <c r="H113" s="22">
        <f>G113-E113</f>
        <v/>
      </c>
      <c r="I113" s="22">
        <f>G113-F113</f>
        <v/>
      </c>
      <c r="J113" s="7" t="inlineStr">
        <is>
          <t>FY2018 CAFR (elcerrito.gov Archive ADID 5118) - transcribed from page image (p.92)</t>
        </is>
      </c>
    </row>
    <row r="114">
      <c r="A114" s="95" t="n">
        <v>2018</v>
      </c>
      <c r="B114" s="13" t="inlineStr">
        <is>
          <t>Expenditure</t>
        </is>
      </c>
      <c r="C114" s="13" t="inlineStr">
        <is>
          <t>City manager</t>
        </is>
      </c>
      <c r="D114" s="13" t="inlineStr">
        <is>
          <t>General government</t>
        </is>
      </c>
      <c r="E114" s="29" t="n">
        <v>1212891</v>
      </c>
      <c r="F114" s="29" t="n">
        <v>1340991</v>
      </c>
      <c r="G114" s="29" t="n">
        <v>1103238</v>
      </c>
      <c r="H114" s="22">
        <f>G114-E114</f>
        <v/>
      </c>
      <c r="I114" s="22">
        <f>G114-F114</f>
        <v/>
      </c>
      <c r="J114" s="7" t="inlineStr">
        <is>
          <t>FY2018 CAFR (elcerrito.gov Archive ADID 5118) - transcribed from page image (p.92)</t>
        </is>
      </c>
    </row>
    <row r="115">
      <c r="A115" s="95" t="n">
        <v>2018</v>
      </c>
      <c r="B115" s="13" t="inlineStr">
        <is>
          <t>Expenditure</t>
        </is>
      </c>
      <c r="C115" s="13" t="inlineStr">
        <is>
          <t>City attorney</t>
        </is>
      </c>
      <c r="D115" s="13" t="inlineStr">
        <is>
          <t>General government</t>
        </is>
      </c>
      <c r="E115" s="29" t="n">
        <v>300000</v>
      </c>
      <c r="F115" s="29" t="n">
        <v>300000</v>
      </c>
      <c r="G115" s="29" t="n">
        <v>388341</v>
      </c>
      <c r="H115" s="22">
        <f>G115-E115</f>
        <v/>
      </c>
      <c r="I115" s="22">
        <f>G115-F115</f>
        <v/>
      </c>
      <c r="J115" s="7" t="inlineStr">
        <is>
          <t>FY2018 CAFR (elcerrito.gov Archive ADID 5118) - transcribed from page image (p.92)</t>
        </is>
      </c>
    </row>
    <row r="116">
      <c r="A116" s="95" t="n">
        <v>2018</v>
      </c>
      <c r="B116" s="13" t="inlineStr">
        <is>
          <t>Expenditure</t>
        </is>
      </c>
      <c r="C116" s="13" t="inlineStr">
        <is>
          <t>Financial services</t>
        </is>
      </c>
      <c r="D116" s="13" t="inlineStr">
        <is>
          <t>General government</t>
        </is>
      </c>
      <c r="E116" s="29" t="n">
        <v>1721801</v>
      </c>
      <c r="F116" s="29" t="n">
        <v>1286138</v>
      </c>
      <c r="G116" s="29" t="n">
        <v>1416372</v>
      </c>
      <c r="H116" s="22">
        <f>G116-E116</f>
        <v/>
      </c>
      <c r="I116" s="22">
        <f>G116-F116</f>
        <v/>
      </c>
      <c r="J116" s="7" t="inlineStr">
        <is>
          <t>FY2018 CAFR (elcerrito.gov Archive ADID 5118) - transcribed from page image (p.92)</t>
        </is>
      </c>
    </row>
    <row r="117">
      <c r="A117" s="95" t="n">
        <v>2018</v>
      </c>
      <c r="B117" s="13" t="inlineStr">
        <is>
          <t>Expenditure</t>
        </is>
      </c>
      <c r="C117" s="13" t="inlineStr">
        <is>
          <t>City clerk</t>
        </is>
      </c>
      <c r="D117" s="13" t="inlineStr">
        <is>
          <t>General government</t>
        </is>
      </c>
      <c r="E117" s="29" t="n">
        <v>362887</v>
      </c>
      <c r="F117" s="29" t="n">
        <v>378505</v>
      </c>
      <c r="G117" s="29" t="n">
        <v>308498</v>
      </c>
      <c r="H117" s="22">
        <f>G117-E117</f>
        <v/>
      </c>
      <c r="I117" s="22">
        <f>G117-F117</f>
        <v/>
      </c>
      <c r="J117" s="7" t="inlineStr">
        <is>
          <t>FY2018 CAFR (elcerrito.gov Archive ADID 5118) - transcribed from page image (p.92)</t>
        </is>
      </c>
    </row>
    <row r="118">
      <c r="A118" s="95" t="n">
        <v>2018</v>
      </c>
      <c r="B118" s="13" t="inlineStr">
        <is>
          <t>Expenditure</t>
        </is>
      </c>
      <c r="C118" s="13" t="inlineStr">
        <is>
          <t>Information systems</t>
        </is>
      </c>
      <c r="D118" s="13" t="inlineStr">
        <is>
          <t>General government</t>
        </is>
      </c>
      <c r="E118" s="29" t="n">
        <v>682757</v>
      </c>
      <c r="F118" s="29" t="n">
        <v>682757</v>
      </c>
      <c r="G118" s="29" t="n">
        <v>711974</v>
      </c>
      <c r="H118" s="22">
        <f>G118-E118</f>
        <v/>
      </c>
      <c r="I118" s="22">
        <f>G118-F118</f>
        <v/>
      </c>
      <c r="J118" s="7" t="inlineStr">
        <is>
          <t>FY2018 CAFR (elcerrito.gov Archive ADID 5118) - transcribed from page image (p.92)</t>
        </is>
      </c>
    </row>
    <row r="119">
      <c r="A119" s="95" t="n">
        <v>2018</v>
      </c>
      <c r="B119" s="13" t="inlineStr">
        <is>
          <t>Expenditure</t>
        </is>
      </c>
      <c r="C119" s="13" t="inlineStr">
        <is>
          <t>Employee services</t>
        </is>
      </c>
      <c r="D119" s="13" t="inlineStr">
        <is>
          <t>General government</t>
        </is>
      </c>
      <c r="E119" s="29" t="n">
        <v>1044611</v>
      </c>
      <c r="F119" s="29" t="n">
        <v>1046928</v>
      </c>
      <c r="G119" s="29" t="n">
        <v>1209294</v>
      </c>
      <c r="H119" s="22">
        <f>G119-E119</f>
        <v/>
      </c>
      <c r="I119" s="22">
        <f>G119-F119</f>
        <v/>
      </c>
      <c r="J119" s="7" t="inlineStr">
        <is>
          <t>FY2018 CAFR (elcerrito.gov Archive ADID 5118) - transcribed from page image (p.92)</t>
        </is>
      </c>
    </row>
    <row r="120">
      <c r="A120" s="95" t="n">
        <v>2018</v>
      </c>
      <c r="B120" s="13" t="inlineStr">
        <is>
          <t>Expenditure</t>
        </is>
      </c>
      <c r="C120" s="13" t="inlineStr">
        <is>
          <t>Public works</t>
        </is>
      </c>
      <c r="D120" s="13" t="inlineStr">
        <is>
          <t>Public works</t>
        </is>
      </c>
      <c r="E120" s="29" t="n">
        <v>1600536</v>
      </c>
      <c r="F120" s="29" t="n">
        <v>1720060</v>
      </c>
      <c r="G120" s="29" t="n">
        <v>1673715</v>
      </c>
      <c r="H120" s="22">
        <f>G120-E120</f>
        <v/>
      </c>
      <c r="I120" s="22">
        <f>G120-F120</f>
        <v/>
      </c>
      <c r="J120" s="7" t="inlineStr">
        <is>
          <t>FY2018 CAFR (elcerrito.gov Archive ADID 5118) - transcribed from page image (p.92)</t>
        </is>
      </c>
    </row>
    <row r="121">
      <c r="A121" s="95" t="n">
        <v>2018</v>
      </c>
      <c r="B121" s="13" t="inlineStr">
        <is>
          <t>Expenditure</t>
        </is>
      </c>
      <c r="C121" s="13" t="inlineStr">
        <is>
          <t>Recreation</t>
        </is>
      </c>
      <c r="D121" s="13" t="inlineStr">
        <is>
          <t>Recreation</t>
        </is>
      </c>
      <c r="E121" s="29" t="n">
        <v>4892923</v>
      </c>
      <c r="F121" s="29" t="n">
        <v>4905253</v>
      </c>
      <c r="G121" s="29" t="n">
        <v>5183872</v>
      </c>
      <c r="H121" s="22">
        <f>G121-E121</f>
        <v/>
      </c>
      <c r="I121" s="22">
        <f>G121-F121</f>
        <v/>
      </c>
      <c r="J121" s="7" t="inlineStr">
        <is>
          <t>FY2018 CAFR (elcerrito.gov Archive ADID 5118) - transcribed from page image (p.92)</t>
        </is>
      </c>
    </row>
    <row r="122">
      <c r="A122" s="95" t="n">
        <v>2018</v>
      </c>
      <c r="B122" s="13" t="inlineStr">
        <is>
          <t>Expenditure</t>
        </is>
      </c>
      <c r="C122" s="13" t="inlineStr">
        <is>
          <t>Community development</t>
        </is>
      </c>
      <c r="D122" s="13" t="inlineStr">
        <is>
          <t>Community development</t>
        </is>
      </c>
      <c r="E122" s="29" t="n">
        <v>2274291</v>
      </c>
      <c r="F122" s="29" t="n">
        <v>2274356</v>
      </c>
      <c r="G122" s="29" t="n">
        <v>2405103</v>
      </c>
      <c r="H122" s="22">
        <f>G122-E122</f>
        <v/>
      </c>
      <c r="I122" s="22">
        <f>G122-F122</f>
        <v/>
      </c>
      <c r="J122" s="7" t="inlineStr">
        <is>
          <t>FY2018 CAFR (elcerrito.gov Archive ADID 5118) - transcribed from page image (p.92)</t>
        </is>
      </c>
    </row>
    <row r="123">
      <c r="A123" s="95" t="n">
        <v>2018</v>
      </c>
      <c r="B123" s="13" t="inlineStr">
        <is>
          <t>Expenditure</t>
        </is>
      </c>
      <c r="C123" s="13" t="inlineStr">
        <is>
          <t>Police</t>
        </is>
      </c>
      <c r="D123" s="13" t="inlineStr">
        <is>
          <t>Public safety - Police</t>
        </is>
      </c>
      <c r="E123" s="29" t="n">
        <v>11459753</v>
      </c>
      <c r="F123" s="29" t="n">
        <v>11462191</v>
      </c>
      <c r="G123" s="29" t="n">
        <v>11138830</v>
      </c>
      <c r="H123" s="22">
        <f>G123-E123</f>
        <v/>
      </c>
      <c r="I123" s="22">
        <f>G123-F123</f>
        <v/>
      </c>
      <c r="J123" s="7" t="inlineStr">
        <is>
          <t>FY2018 CAFR (elcerrito.gov Archive ADID 5118) - transcribed from page image (p.92)</t>
        </is>
      </c>
    </row>
    <row r="124">
      <c r="A124" s="95" t="n">
        <v>2018</v>
      </c>
      <c r="B124" s="13" t="inlineStr">
        <is>
          <t>Expenditure</t>
        </is>
      </c>
      <c r="C124" s="13" t="inlineStr">
        <is>
          <t>Fire</t>
        </is>
      </c>
      <c r="D124" s="13" t="inlineStr">
        <is>
          <t>Public safety - Fire</t>
        </is>
      </c>
      <c r="E124" s="29" t="n">
        <v>9023223</v>
      </c>
      <c r="F124" s="29" t="n">
        <v>10084159</v>
      </c>
      <c r="G124" s="29" t="n">
        <v>10122718</v>
      </c>
      <c r="H124" s="22">
        <f>G124-E124</f>
        <v/>
      </c>
      <c r="I124" s="22">
        <f>G124-F124</f>
        <v/>
      </c>
      <c r="J124" s="7" t="inlineStr">
        <is>
          <t>FY2018 CAFR (elcerrito.gov Archive ADID 5118) - transcribed from page image (p.92)</t>
        </is>
      </c>
    </row>
    <row r="125">
      <c r="A125" s="95" t="n">
        <v>2018</v>
      </c>
      <c r="B125" s="13" t="inlineStr">
        <is>
          <t>Expenditure</t>
        </is>
      </c>
      <c r="C125" s="13" t="inlineStr">
        <is>
          <t>Capital outlay</t>
        </is>
      </c>
      <c r="D125" s="13" t="inlineStr">
        <is>
          <t>Capital outlay</t>
        </is>
      </c>
      <c r="E125" s="29" t="n">
        <v>164000</v>
      </c>
      <c r="F125" s="29" t="n">
        <v>357211</v>
      </c>
      <c r="G125" s="29" t="n">
        <v>276683</v>
      </c>
      <c r="H125" s="22">
        <f>G125-E125</f>
        <v/>
      </c>
      <c r="I125" s="22">
        <f>G125-F125</f>
        <v/>
      </c>
      <c r="J125" s="7" t="inlineStr">
        <is>
          <t>FY2018 CAFR (elcerrito.gov Archive ADID 5118) - transcribed from page image (p.92)</t>
        </is>
      </c>
    </row>
    <row r="126">
      <c r="A126" s="95" t="n">
        <v>2018</v>
      </c>
      <c r="B126" s="13" t="inlineStr">
        <is>
          <t>Expenditure</t>
        </is>
      </c>
      <c r="C126" s="13" t="inlineStr">
        <is>
          <t>Principal</t>
        </is>
      </c>
      <c r="D126" s="13" t="inlineStr">
        <is>
          <t>Debt service - principal</t>
        </is>
      </c>
      <c r="E126" s="29" t="n">
        <v>98616</v>
      </c>
      <c r="F126" s="29" t="n">
        <v>98616</v>
      </c>
      <c r="G126" s="29" t="n">
        <v>98616</v>
      </c>
      <c r="H126" s="22">
        <f>G126-E126</f>
        <v/>
      </c>
      <c r="I126" s="22">
        <f>G126-F126</f>
        <v/>
      </c>
      <c r="J126" s="7" t="inlineStr">
        <is>
          <t>FY2018 CAFR (elcerrito.gov Archive ADID 5118) - transcribed from page image (p.92)</t>
        </is>
      </c>
    </row>
    <row r="127">
      <c r="A127" s="95" t="n">
        <v>2018</v>
      </c>
      <c r="B127" s="13" t="inlineStr">
        <is>
          <t>Expenditure</t>
        </is>
      </c>
      <c r="C127" s="13" t="inlineStr">
        <is>
          <t>Interest and fiscal charges</t>
        </is>
      </c>
      <c r="D127" s="13" t="inlineStr">
        <is>
          <t>Debt service - interest</t>
        </is>
      </c>
      <c r="E127" s="29" t="n">
        <v>31857</v>
      </c>
      <c r="F127" s="29" t="n">
        <v>31857</v>
      </c>
      <c r="G127" s="29" t="n">
        <v>103732</v>
      </c>
      <c r="H127" s="22">
        <f>G127-E127</f>
        <v/>
      </c>
      <c r="I127" s="22">
        <f>G127-F127</f>
        <v/>
      </c>
      <c r="J127" s="7" t="inlineStr">
        <is>
          <t>FY2018 CAFR (elcerrito.gov Archive ADID 5118) - transcribed from page image (p.92)</t>
        </is>
      </c>
    </row>
    <row r="128">
      <c r="A128" s="95" t="n">
        <v>2018</v>
      </c>
      <c r="B128" s="13" t="inlineStr">
        <is>
          <t>Other financing</t>
        </is>
      </c>
      <c r="C128" s="13" t="inlineStr">
        <is>
          <t>Transfers in</t>
        </is>
      </c>
      <c r="D128" s="13" t="inlineStr">
        <is>
          <t>Transfers in</t>
        </is>
      </c>
      <c r="E128" s="29" t="n">
        <v>54583</v>
      </c>
      <c r="F128" s="29" t="n">
        <v>54583</v>
      </c>
      <c r="G128" s="29" t="n">
        <v>54583</v>
      </c>
      <c r="H128" s="22">
        <f>G128-E128</f>
        <v/>
      </c>
      <c r="I128" s="22">
        <f>G128-F128</f>
        <v/>
      </c>
      <c r="J128" s="7" t="inlineStr">
        <is>
          <t>FY2018 CAFR (elcerrito.gov Archive ADID 5118) - transcribed from page image (p.92)</t>
        </is>
      </c>
    </row>
    <row r="129">
      <c r="A129" s="95" t="n">
        <v>2018</v>
      </c>
      <c r="B129" s="13" t="inlineStr">
        <is>
          <t>Other financing</t>
        </is>
      </c>
      <c r="C129" s="13" t="inlineStr">
        <is>
          <t>Transfers (out)</t>
        </is>
      </c>
      <c r="D129" s="13" t="inlineStr">
        <is>
          <t>Transfers out</t>
        </is>
      </c>
      <c r="E129" s="29" t="n">
        <v>-317465</v>
      </c>
      <c r="F129" s="29" t="n">
        <v>-317465</v>
      </c>
      <c r="G129" s="29" t="n">
        <v>-317465</v>
      </c>
      <c r="H129" s="22">
        <f>G129-E129</f>
        <v/>
      </c>
      <c r="I129" s="22">
        <f>G129-F129</f>
        <v/>
      </c>
      <c r="J129" s="7" t="inlineStr">
        <is>
          <t>FY2018 CAFR (elcerrito.gov Archive ADID 5118) - transcribed from page image (p.92)</t>
        </is>
      </c>
    </row>
    <row r="130">
      <c r="A130" s="95" t="n">
        <v>2019</v>
      </c>
      <c r="B130" s="13" t="inlineStr">
        <is>
          <t>Revenue</t>
        </is>
      </c>
      <c r="C130" s="13" t="inlineStr">
        <is>
          <t>Property taxes</t>
        </is>
      </c>
      <c r="D130" s="13" t="inlineStr">
        <is>
          <t>Property taxes</t>
        </is>
      </c>
      <c r="E130" s="29" t="n">
        <v>10068000</v>
      </c>
      <c r="F130" s="29" t="n">
        <v>10068000</v>
      </c>
      <c r="G130" s="29" t="n">
        <v>10182035</v>
      </c>
      <c r="H130" s="22">
        <f>G130-E130</f>
        <v/>
      </c>
      <c r="I130" s="22">
        <f>G130-F130</f>
        <v/>
      </c>
      <c r="J130" s="7" t="inlineStr">
        <is>
          <t>FY2019 CAFR (elcerrito.gov Archive ADID 5422)</t>
        </is>
      </c>
    </row>
    <row r="131">
      <c r="A131" s="95" t="n">
        <v>2019</v>
      </c>
      <c r="B131" s="13" t="inlineStr">
        <is>
          <t>Revenue</t>
        </is>
      </c>
      <c r="C131" s="13" t="inlineStr">
        <is>
          <t>Taxes other than property</t>
        </is>
      </c>
      <c r="D131" s="13" t="inlineStr">
        <is>
          <t>Taxes other than property</t>
        </is>
      </c>
      <c r="E131" s="29" t="n">
        <v>15912000</v>
      </c>
      <c r="F131" s="29" t="n">
        <v>16512000</v>
      </c>
      <c r="G131" s="29" t="n">
        <v>16812948</v>
      </c>
      <c r="H131" s="22">
        <f>G131-E131</f>
        <v/>
      </c>
      <c r="I131" s="22">
        <f>G131-F131</f>
        <v/>
      </c>
      <c r="J131" s="7" t="inlineStr">
        <is>
          <t>FY2019 CAFR (elcerrito.gov Archive ADID 5422)</t>
        </is>
      </c>
    </row>
    <row r="132">
      <c r="A132" s="95" t="n">
        <v>2019</v>
      </c>
      <c r="B132" s="13" t="inlineStr">
        <is>
          <t>Revenue</t>
        </is>
      </c>
      <c r="C132" s="13" t="inlineStr">
        <is>
          <t>Licenses and permits</t>
        </is>
      </c>
      <c r="D132" s="13" t="inlineStr">
        <is>
          <t>Licenses and permits</t>
        </is>
      </c>
      <c r="E132" s="29" t="n">
        <v>875000</v>
      </c>
      <c r="F132" s="29" t="n">
        <v>875000</v>
      </c>
      <c r="G132" s="29" t="n">
        <v>775876</v>
      </c>
      <c r="H132" s="22">
        <f>G132-E132</f>
        <v/>
      </c>
      <c r="I132" s="22">
        <f>G132-F132</f>
        <v/>
      </c>
      <c r="J132" s="7" t="inlineStr">
        <is>
          <t>FY2019 CAFR (elcerrito.gov Archive ADID 5422)</t>
        </is>
      </c>
    </row>
    <row r="133">
      <c r="A133" s="95" t="n">
        <v>2019</v>
      </c>
      <c r="B133" s="13" t="inlineStr">
        <is>
          <t>Revenue</t>
        </is>
      </c>
      <c r="C133" s="13" t="inlineStr">
        <is>
          <t>Fines and penalties</t>
        </is>
      </c>
      <c r="D133" s="13" t="inlineStr">
        <is>
          <t>Fines and forfeitures</t>
        </is>
      </c>
      <c r="E133" s="29" t="n">
        <v>310000</v>
      </c>
      <c r="F133" s="29" t="n">
        <v>310000</v>
      </c>
      <c r="G133" s="29" t="n">
        <v>218684</v>
      </c>
      <c r="H133" s="22">
        <f>G133-E133</f>
        <v/>
      </c>
      <c r="I133" s="22">
        <f>G133-F133</f>
        <v/>
      </c>
      <c r="J133" s="7" t="inlineStr">
        <is>
          <t>FY2019 CAFR (elcerrito.gov Archive ADID 5422)</t>
        </is>
      </c>
    </row>
    <row r="134">
      <c r="A134" s="95" t="n">
        <v>2019</v>
      </c>
      <c r="B134" s="13" t="inlineStr">
        <is>
          <t>Revenue</t>
        </is>
      </c>
      <c r="C134" s="13" t="inlineStr">
        <is>
          <t>Use of money and property</t>
        </is>
      </c>
      <c r="D134" s="13" t="inlineStr">
        <is>
          <t>Use of money and property</t>
        </is>
      </c>
      <c r="E134" s="29" t="n">
        <v>103000</v>
      </c>
      <c r="F134" s="29" t="n">
        <v>103000</v>
      </c>
      <c r="G134" s="29" t="n">
        <v>157264</v>
      </c>
      <c r="H134" s="22">
        <f>G134-E134</f>
        <v/>
      </c>
      <c r="I134" s="22">
        <f>G134-F134</f>
        <v/>
      </c>
      <c r="J134" s="7" t="inlineStr">
        <is>
          <t>FY2019 CAFR (elcerrito.gov Archive ADID 5422)</t>
        </is>
      </c>
    </row>
    <row r="135">
      <c r="A135" s="95" t="n">
        <v>2019</v>
      </c>
      <c r="B135" s="13" t="inlineStr">
        <is>
          <t>Revenue</t>
        </is>
      </c>
      <c r="C135" s="13" t="inlineStr">
        <is>
          <t>Intergovernmental revenues</t>
        </is>
      </c>
      <c r="D135" s="13" t="inlineStr">
        <is>
          <t>Intergovernmental</t>
        </is>
      </c>
      <c r="E135" s="29" t="n">
        <v>3651000</v>
      </c>
      <c r="F135" s="29" t="n">
        <v>3801000</v>
      </c>
      <c r="G135" s="29" t="n">
        <v>4091055</v>
      </c>
      <c r="H135" s="22">
        <f>G135-E135</f>
        <v/>
      </c>
      <c r="I135" s="22">
        <f>G135-F135</f>
        <v/>
      </c>
      <c r="J135" s="7" t="inlineStr">
        <is>
          <t>FY2019 CAFR (elcerrito.gov Archive ADID 5422)</t>
        </is>
      </c>
    </row>
    <row r="136">
      <c r="A136" s="95" t="n">
        <v>2019</v>
      </c>
      <c r="B136" s="13" t="inlineStr">
        <is>
          <t>Revenue</t>
        </is>
      </c>
      <c r="C136" s="13" t="inlineStr">
        <is>
          <t>Charges for services</t>
        </is>
      </c>
      <c r="D136" s="13" t="inlineStr">
        <is>
          <t>Charges for services</t>
        </is>
      </c>
      <c r="E136" s="29" t="n">
        <v>6709700</v>
      </c>
      <c r="F136" s="29" t="n">
        <v>6709700</v>
      </c>
      <c r="G136" s="29" t="n">
        <v>6933840</v>
      </c>
      <c r="H136" s="22">
        <f>G136-E136</f>
        <v/>
      </c>
      <c r="I136" s="22">
        <f>G136-F136</f>
        <v/>
      </c>
      <c r="J136" s="7" t="inlineStr">
        <is>
          <t>FY2019 CAFR (elcerrito.gov Archive ADID 5422)</t>
        </is>
      </c>
    </row>
    <row r="137">
      <c r="A137" s="95" t="n">
        <v>2019</v>
      </c>
      <c r="B137" s="13" t="inlineStr">
        <is>
          <t>Revenue</t>
        </is>
      </c>
      <c r="C137" s="13" t="inlineStr">
        <is>
          <t>Other revenues</t>
        </is>
      </c>
      <c r="D137" s="13" t="inlineStr">
        <is>
          <t>Other revenues</t>
        </is>
      </c>
      <c r="E137" s="29" t="n">
        <v>82000</v>
      </c>
      <c r="F137" s="29" t="n">
        <v>82000</v>
      </c>
      <c r="G137" s="29" t="n">
        <v>182030</v>
      </c>
      <c r="H137" s="22">
        <f>G137-E137</f>
        <v/>
      </c>
      <c r="I137" s="22">
        <f>G137-F137</f>
        <v/>
      </c>
      <c r="J137" s="7" t="inlineStr">
        <is>
          <t>FY2019 CAFR (elcerrito.gov Archive ADID 5422)</t>
        </is>
      </c>
    </row>
    <row r="138">
      <c r="A138" s="95" t="n">
        <v>2019</v>
      </c>
      <c r="B138" s="13" t="inlineStr">
        <is>
          <t>Expenditure</t>
        </is>
      </c>
      <c r="C138" s="13" t="inlineStr">
        <is>
          <t>City council</t>
        </is>
      </c>
      <c r="D138" s="13" t="inlineStr">
        <is>
          <t>General government</t>
        </is>
      </c>
      <c r="E138" s="29" t="n">
        <v>95545</v>
      </c>
      <c r="F138" s="29" t="n">
        <v>95545</v>
      </c>
      <c r="G138" s="29" t="n">
        <v>195465</v>
      </c>
      <c r="H138" s="22">
        <f>G138-E138</f>
        <v/>
      </c>
      <c r="I138" s="22">
        <f>G138-F138</f>
        <v/>
      </c>
      <c r="J138" s="7" t="inlineStr">
        <is>
          <t>FY2019 CAFR (elcerrito.gov Archive ADID 5422)</t>
        </is>
      </c>
    </row>
    <row r="139">
      <c r="A139" s="95" t="n">
        <v>2019</v>
      </c>
      <c r="B139" s="13" t="inlineStr">
        <is>
          <t>Expenditure</t>
        </is>
      </c>
      <c r="C139" s="13" t="inlineStr">
        <is>
          <t>City manager</t>
        </is>
      </c>
      <c r="D139" s="13" t="inlineStr">
        <is>
          <t>General government</t>
        </is>
      </c>
      <c r="E139" s="29" t="n">
        <v>1139694</v>
      </c>
      <c r="F139" s="29" t="n">
        <v>1139694</v>
      </c>
      <c r="G139" s="29" t="n">
        <v>1345679</v>
      </c>
      <c r="H139" s="22">
        <f>G139-E139</f>
        <v/>
      </c>
      <c r="I139" s="22">
        <f>G139-F139</f>
        <v/>
      </c>
      <c r="J139" s="7" t="inlineStr">
        <is>
          <t>FY2019 CAFR (elcerrito.gov Archive ADID 5422)</t>
        </is>
      </c>
    </row>
    <row r="140">
      <c r="A140" s="95" t="n">
        <v>2019</v>
      </c>
      <c r="B140" s="13" t="inlineStr">
        <is>
          <t>Expenditure</t>
        </is>
      </c>
      <c r="C140" s="13" t="inlineStr">
        <is>
          <t>City attorney</t>
        </is>
      </c>
      <c r="D140" s="13" t="inlineStr">
        <is>
          <t>General government</t>
        </is>
      </c>
      <c r="E140" s="29" t="n">
        <v>300000</v>
      </c>
      <c r="F140" s="29" t="n">
        <v>300000</v>
      </c>
      <c r="G140" s="29" t="n">
        <v>519482</v>
      </c>
      <c r="H140" s="22">
        <f>G140-E140</f>
        <v/>
      </c>
      <c r="I140" s="22">
        <f>G140-F140</f>
        <v/>
      </c>
      <c r="J140" s="7" t="inlineStr">
        <is>
          <t>FY2019 CAFR (elcerrito.gov Archive ADID 5422)</t>
        </is>
      </c>
    </row>
    <row r="141">
      <c r="A141" s="95" t="n">
        <v>2019</v>
      </c>
      <c r="B141" s="13" t="inlineStr">
        <is>
          <t>Expenditure</t>
        </is>
      </c>
      <c r="C141" s="13" t="inlineStr">
        <is>
          <t>Financial services</t>
        </is>
      </c>
      <c r="D141" s="13" t="inlineStr">
        <is>
          <t>General government</t>
        </is>
      </c>
      <c r="E141" s="29" t="n">
        <v>1487139</v>
      </c>
      <c r="F141" s="29" t="n">
        <v>1492253</v>
      </c>
      <c r="G141" s="29" t="n">
        <v>1530765</v>
      </c>
      <c r="H141" s="22">
        <f>G141-E141</f>
        <v/>
      </c>
      <c r="I141" s="22">
        <f>G141-F141</f>
        <v/>
      </c>
      <c r="J141" s="7" t="inlineStr">
        <is>
          <t>FY2019 CAFR (elcerrito.gov Archive ADID 5422)</t>
        </is>
      </c>
    </row>
    <row r="142">
      <c r="A142" s="95" t="n">
        <v>2019</v>
      </c>
      <c r="B142" s="13" t="inlineStr">
        <is>
          <t>Expenditure</t>
        </is>
      </c>
      <c r="C142" s="13" t="inlineStr">
        <is>
          <t>City clerk</t>
        </is>
      </c>
      <c r="D142" s="13" t="inlineStr">
        <is>
          <t>General government</t>
        </is>
      </c>
      <c r="E142" s="29" t="n">
        <v>397818</v>
      </c>
      <c r="F142" s="29" t="n">
        <v>399079</v>
      </c>
      <c r="G142" s="29" t="n">
        <v>346335</v>
      </c>
      <c r="H142" s="22">
        <f>G142-E142</f>
        <v/>
      </c>
      <c r="I142" s="22">
        <f>G142-F142</f>
        <v/>
      </c>
      <c r="J142" s="7" t="inlineStr">
        <is>
          <t>FY2019 CAFR (elcerrito.gov Archive ADID 5422)</t>
        </is>
      </c>
    </row>
    <row r="143">
      <c r="A143" s="95" t="n">
        <v>2019</v>
      </c>
      <c r="B143" s="13" t="inlineStr">
        <is>
          <t>Expenditure</t>
        </is>
      </c>
      <c r="C143" s="13" t="inlineStr">
        <is>
          <t>Information systems</t>
        </is>
      </c>
      <c r="D143" s="13" t="inlineStr">
        <is>
          <t>General government</t>
        </is>
      </c>
      <c r="E143" s="29" t="n">
        <v>854538</v>
      </c>
      <c r="F143" s="29" t="n">
        <v>854538</v>
      </c>
      <c r="G143" s="29" t="n">
        <v>848768</v>
      </c>
      <c r="H143" s="22">
        <f>G143-E143</f>
        <v/>
      </c>
      <c r="I143" s="22">
        <f>G143-F143</f>
        <v/>
      </c>
      <c r="J143" s="7" t="inlineStr">
        <is>
          <t>FY2019 CAFR (elcerrito.gov Archive ADID 5422)</t>
        </is>
      </c>
    </row>
    <row r="144">
      <c r="A144" s="95" t="n">
        <v>2019</v>
      </c>
      <c r="B144" s="13" t="inlineStr">
        <is>
          <t>Expenditure</t>
        </is>
      </c>
      <c r="C144" s="13" t="inlineStr">
        <is>
          <t>Employee services</t>
        </is>
      </c>
      <c r="D144" s="13" t="inlineStr">
        <is>
          <t>General government</t>
        </is>
      </c>
      <c r="E144" s="29" t="n">
        <v>1169082</v>
      </c>
      <c r="F144" s="29" t="n">
        <v>1169082</v>
      </c>
      <c r="G144" s="29" t="n">
        <v>1148462</v>
      </c>
      <c r="H144" s="22">
        <f>G144-E144</f>
        <v/>
      </c>
      <c r="I144" s="22">
        <f>G144-F144</f>
        <v/>
      </c>
      <c r="J144" s="7" t="inlineStr">
        <is>
          <t>FY2019 CAFR (elcerrito.gov Archive ADID 5422)</t>
        </is>
      </c>
    </row>
    <row r="145">
      <c r="A145" s="95" t="n">
        <v>2019</v>
      </c>
      <c r="B145" s="13" t="inlineStr">
        <is>
          <t>Expenditure</t>
        </is>
      </c>
      <c r="C145" s="13" t="inlineStr">
        <is>
          <t>Public works</t>
        </is>
      </c>
      <c r="D145" s="13" t="inlineStr">
        <is>
          <t>Public works</t>
        </is>
      </c>
      <c r="E145" s="29" t="n">
        <v>1840883</v>
      </c>
      <c r="F145" s="29" t="n">
        <v>1847397</v>
      </c>
      <c r="G145" s="29" t="n">
        <v>1967260</v>
      </c>
      <c r="H145" s="22">
        <f>G145-E145</f>
        <v/>
      </c>
      <c r="I145" s="22">
        <f>G145-F145</f>
        <v/>
      </c>
      <c r="J145" s="7" t="inlineStr">
        <is>
          <t>FY2019 CAFR (elcerrito.gov Archive ADID 5422)</t>
        </is>
      </c>
    </row>
    <row r="146">
      <c r="A146" s="95" t="n">
        <v>2019</v>
      </c>
      <c r="B146" s="13" t="inlineStr">
        <is>
          <t>Expenditure</t>
        </is>
      </c>
      <c r="C146" s="13" t="inlineStr">
        <is>
          <t>Recreation</t>
        </is>
      </c>
      <c r="D146" s="13" t="inlineStr">
        <is>
          <t>Recreation</t>
        </is>
      </c>
      <c r="E146" s="29" t="n">
        <v>5399359</v>
      </c>
      <c r="F146" s="29" t="n">
        <v>5393176</v>
      </c>
      <c r="G146" s="29" t="n">
        <v>5794027</v>
      </c>
      <c r="H146" s="22">
        <f>G146-E146</f>
        <v/>
      </c>
      <c r="I146" s="22">
        <f>G146-F146</f>
        <v/>
      </c>
      <c r="J146" s="7" t="inlineStr">
        <is>
          <t>FY2019 CAFR (elcerrito.gov Archive ADID 5422)</t>
        </is>
      </c>
    </row>
    <row r="147">
      <c r="A147" s="95" t="n">
        <v>2019</v>
      </c>
      <c r="B147" s="13" t="inlineStr">
        <is>
          <t>Expenditure</t>
        </is>
      </c>
      <c r="C147" s="13" t="inlineStr">
        <is>
          <t>Community development</t>
        </is>
      </c>
      <c r="D147" s="13" t="inlineStr">
        <is>
          <t>Community development</t>
        </is>
      </c>
      <c r="E147" s="29" t="n">
        <v>2269021</v>
      </c>
      <c r="F147" s="29" t="n">
        <v>2284615</v>
      </c>
      <c r="G147" s="29" t="n">
        <v>2522098</v>
      </c>
      <c r="H147" s="22">
        <f>G147-E147</f>
        <v/>
      </c>
      <c r="I147" s="22">
        <f>G147-F147</f>
        <v/>
      </c>
      <c r="J147" s="7" t="inlineStr">
        <is>
          <t>FY2019 CAFR (elcerrito.gov Archive ADID 5422)</t>
        </is>
      </c>
    </row>
    <row r="148">
      <c r="A148" s="95" t="n">
        <v>2019</v>
      </c>
      <c r="B148" s="13" t="inlineStr">
        <is>
          <t>Expenditure</t>
        </is>
      </c>
      <c r="C148" s="13" t="inlineStr">
        <is>
          <t>Police</t>
        </is>
      </c>
      <c r="D148" s="13" t="inlineStr">
        <is>
          <t>Public safety - Police</t>
        </is>
      </c>
      <c r="E148" s="29" t="n">
        <v>11842040</v>
      </c>
      <c r="F148" s="29" t="n">
        <v>11842040</v>
      </c>
      <c r="G148" s="29" t="n">
        <v>12121461</v>
      </c>
      <c r="H148" s="22">
        <f>G148-E148</f>
        <v/>
      </c>
      <c r="I148" s="22">
        <f>G148-F148</f>
        <v/>
      </c>
      <c r="J148" s="7" t="inlineStr">
        <is>
          <t>FY2019 CAFR (elcerrito.gov Archive ADID 5422)</t>
        </is>
      </c>
    </row>
    <row r="149">
      <c r="A149" s="95" t="n">
        <v>2019</v>
      </c>
      <c r="B149" s="13" t="inlineStr">
        <is>
          <t>Expenditure</t>
        </is>
      </c>
      <c r="C149" s="13" t="inlineStr">
        <is>
          <t>Fire</t>
        </is>
      </c>
      <c r="D149" s="13" t="inlineStr">
        <is>
          <t>Public safety - Fire</t>
        </is>
      </c>
      <c r="E149" s="29" t="n">
        <v>10006212</v>
      </c>
      <c r="F149" s="29" t="n">
        <v>10156212</v>
      </c>
      <c r="G149" s="29" t="n">
        <v>11257758</v>
      </c>
      <c r="H149" s="22">
        <f>G149-E149</f>
        <v/>
      </c>
      <c r="I149" s="22">
        <f>G149-F149</f>
        <v/>
      </c>
      <c r="J149" s="7" t="inlineStr">
        <is>
          <t>FY2019 CAFR (elcerrito.gov Archive ADID 5422)</t>
        </is>
      </c>
    </row>
    <row r="150">
      <c r="A150" s="95" t="n">
        <v>2019</v>
      </c>
      <c r="B150" s="13" t="inlineStr">
        <is>
          <t>Expenditure</t>
        </is>
      </c>
      <c r="C150" s="13" t="inlineStr">
        <is>
          <t>Capital outlay</t>
        </is>
      </c>
      <c r="D150" s="13" t="inlineStr">
        <is>
          <t>Capital outlay</t>
        </is>
      </c>
      <c r="E150" s="29" t="n">
        <v>165000</v>
      </c>
      <c r="F150" s="29" t="n">
        <v>172775</v>
      </c>
      <c r="G150" s="29" t="n">
        <v>344253</v>
      </c>
      <c r="H150" s="22">
        <f>G150-E150</f>
        <v/>
      </c>
      <c r="I150" s="22">
        <f>G150-F150</f>
        <v/>
      </c>
      <c r="J150" s="7" t="inlineStr">
        <is>
          <t>FY2019 CAFR (elcerrito.gov Archive ADID 5422)</t>
        </is>
      </c>
    </row>
    <row r="151">
      <c r="A151" s="95" t="n">
        <v>2019</v>
      </c>
      <c r="B151" s="13" t="inlineStr">
        <is>
          <t>Expenditure</t>
        </is>
      </c>
      <c r="C151" s="13" t="inlineStr">
        <is>
          <t>Principal</t>
        </is>
      </c>
      <c r="D151" s="13" t="inlineStr">
        <is>
          <t>Debt service - principal</t>
        </is>
      </c>
      <c r="E151" s="29" t="n">
        <v>101346</v>
      </c>
      <c r="F151" s="29" t="n">
        <v>126504</v>
      </c>
      <c r="G151" s="29" t="n">
        <v>126504</v>
      </c>
      <c r="H151" s="22">
        <f>G151-E151</f>
        <v/>
      </c>
      <c r="I151" s="22">
        <f>G151-F151</f>
        <v/>
      </c>
      <c r="J151" s="7" t="inlineStr">
        <is>
          <t>FY2019 CAFR (elcerrito.gov Archive ADID 5422)</t>
        </is>
      </c>
    </row>
    <row r="152">
      <c r="A152" s="95" t="n">
        <v>2019</v>
      </c>
      <c r="B152" s="13" t="inlineStr">
        <is>
          <t>Expenditure</t>
        </is>
      </c>
      <c r="C152" s="13" t="inlineStr">
        <is>
          <t>Interest and fiscal charges</t>
        </is>
      </c>
      <c r="D152" s="13" t="inlineStr">
        <is>
          <t>Debt service - interest</t>
        </is>
      </c>
      <c r="E152" s="29" t="n">
        <v>29126</v>
      </c>
      <c r="F152" s="29" t="n">
        <v>29728</v>
      </c>
      <c r="G152" s="29" t="n">
        <v>134436</v>
      </c>
      <c r="H152" s="22">
        <f>G152-E152</f>
        <v/>
      </c>
      <c r="I152" s="22">
        <f>G152-F152</f>
        <v/>
      </c>
      <c r="J152" s="7" t="inlineStr">
        <is>
          <t>FY2019 CAFR (elcerrito.gov Archive ADID 5422)</t>
        </is>
      </c>
    </row>
    <row r="153">
      <c r="A153" s="95" t="n">
        <v>2019</v>
      </c>
      <c r="B153" s="13" t="inlineStr">
        <is>
          <t>Other financing</t>
        </is>
      </c>
      <c r="C153" s="13" t="inlineStr">
        <is>
          <t>Transfers in</t>
        </is>
      </c>
      <c r="D153" s="13" t="inlineStr">
        <is>
          <t>Transfers in</t>
        </is>
      </c>
      <c r="E153" s="29" t="n">
        <v>54671</v>
      </c>
      <c r="F153" s="29" t="n">
        <v>54671</v>
      </c>
      <c r="G153" s="29" t="n">
        <v>1117990</v>
      </c>
      <c r="H153" s="22">
        <f>G153-E153</f>
        <v/>
      </c>
      <c r="I153" s="22">
        <f>G153-F153</f>
        <v/>
      </c>
      <c r="J153" s="7" t="inlineStr">
        <is>
          <t>FY2019 CAFR (elcerrito.gov Archive ADID 5422)</t>
        </is>
      </c>
    </row>
    <row r="154">
      <c r="A154" s="95" t="n">
        <v>2019</v>
      </c>
      <c r="B154" s="13" t="inlineStr">
        <is>
          <t>Other financing</t>
        </is>
      </c>
      <c r="C154" s="13" t="inlineStr">
        <is>
          <t>Transfers (out)</t>
        </is>
      </c>
      <c r="D154" s="13" t="inlineStr">
        <is>
          <t>Transfers out</t>
        </is>
      </c>
      <c r="E154" s="29" t="n">
        <v>-607522</v>
      </c>
      <c r="F154" s="29" t="n">
        <v>-1289473</v>
      </c>
      <c r="G154" s="29" t="n">
        <v>-1330107</v>
      </c>
      <c r="H154" s="22">
        <f>G154-E154</f>
        <v/>
      </c>
      <c r="I154" s="22">
        <f>G154-F154</f>
        <v/>
      </c>
      <c r="J154" s="7" t="inlineStr">
        <is>
          <t>FY2019 CAFR (elcerrito.gov Archive ADID 5422)</t>
        </is>
      </c>
    </row>
    <row r="155">
      <c r="A155" s="95" t="n">
        <v>2019</v>
      </c>
      <c r="B155" s="13" t="inlineStr">
        <is>
          <t>Other financing</t>
        </is>
      </c>
      <c r="C155" s="13" t="inlineStr">
        <is>
          <t>Capital lease financing</t>
        </is>
      </c>
      <c r="D155" s="13" t="inlineStr">
        <is>
          <t>Debt / lease financing proceeds</t>
        </is>
      </c>
      <c r="E155" s="29" t="n">
        <v>0</v>
      </c>
      <c r="F155" s="29" t="n">
        <v>0</v>
      </c>
      <c r="G155" s="29" t="n">
        <v>116121</v>
      </c>
      <c r="H155" s="22">
        <f>G155-E155</f>
        <v/>
      </c>
      <c r="I155" s="22">
        <f>G155-F155</f>
        <v/>
      </c>
      <c r="J155" s="7" t="inlineStr">
        <is>
          <t>FY2019 CAFR (elcerrito.gov Archive ADID 5422)</t>
        </is>
      </c>
    </row>
    <row r="156">
      <c r="A156" s="95" t="n">
        <v>2019</v>
      </c>
      <c r="B156" s="13" t="inlineStr">
        <is>
          <t>Special item</t>
        </is>
      </c>
      <c r="C156" s="13" t="inlineStr">
        <is>
          <t>Proceeds of sale of land from Contra Costa County</t>
        </is>
      </c>
      <c r="D156" s="13" t="inlineStr">
        <is>
          <t>Special items</t>
        </is>
      </c>
      <c r="E156" s="29" t="n">
        <v>0</v>
      </c>
      <c r="F156" s="29" t="n">
        <v>681951</v>
      </c>
      <c r="G156" s="29" t="n">
        <v>800755</v>
      </c>
      <c r="H156" s="22">
        <f>G156-E156</f>
        <v/>
      </c>
      <c r="I156" s="22">
        <f>G156-F156</f>
        <v/>
      </c>
      <c r="J156" s="7" t="inlineStr">
        <is>
          <t>FY2019 CAFR (elcerrito.gov Archive ADID 5422)</t>
        </is>
      </c>
    </row>
    <row r="157">
      <c r="A157" s="95" t="n">
        <v>2020</v>
      </c>
      <c r="B157" s="13" t="inlineStr">
        <is>
          <t>Revenue</t>
        </is>
      </c>
      <c r="C157" s="13" t="inlineStr">
        <is>
          <t>Property taxes</t>
        </is>
      </c>
      <c r="D157" s="13" t="inlineStr">
        <is>
          <t>Property taxes</t>
        </is>
      </c>
      <c r="E157" s="29" t="n">
        <v>10789640</v>
      </c>
      <c r="F157" s="29" t="n">
        <v>10489640</v>
      </c>
      <c r="G157" s="29" t="n">
        <v>10091133</v>
      </c>
      <c r="H157" s="22">
        <f>G157-E157</f>
        <v/>
      </c>
      <c r="I157" s="22">
        <f>G157-F157</f>
        <v/>
      </c>
      <c r="J157" s="7" t="inlineStr">
        <is>
          <t>FY2020 CAFR (elcerrito.gov Archive ADID 5423)</t>
        </is>
      </c>
    </row>
    <row r="158">
      <c r="A158" s="95" t="n">
        <v>2020</v>
      </c>
      <c r="B158" s="13" t="inlineStr">
        <is>
          <t>Revenue</t>
        </is>
      </c>
      <c r="C158" s="13" t="inlineStr">
        <is>
          <t>Taxes other than property</t>
        </is>
      </c>
      <c r="D158" s="13" t="inlineStr">
        <is>
          <t>Taxes other than property</t>
        </is>
      </c>
      <c r="E158" s="29" t="n">
        <v>17390740</v>
      </c>
      <c r="F158" s="29" t="n">
        <v>17940740</v>
      </c>
      <c r="G158" s="29" t="n">
        <v>19104059</v>
      </c>
      <c r="H158" s="22">
        <f>G158-E158</f>
        <v/>
      </c>
      <c r="I158" s="22">
        <f>G158-F158</f>
        <v/>
      </c>
      <c r="J158" s="7" t="inlineStr">
        <is>
          <t>FY2020 CAFR (elcerrito.gov Archive ADID 5423)</t>
        </is>
      </c>
    </row>
    <row r="159">
      <c r="A159" s="95" t="n">
        <v>2020</v>
      </c>
      <c r="B159" s="13" t="inlineStr">
        <is>
          <t>Revenue</t>
        </is>
      </c>
      <c r="C159" s="13" t="inlineStr">
        <is>
          <t>Licenses and permits</t>
        </is>
      </c>
      <c r="D159" s="13" t="inlineStr">
        <is>
          <t>Licenses and permits</t>
        </is>
      </c>
      <c r="E159" s="29" t="n">
        <v>992720</v>
      </c>
      <c r="F159" s="29" t="n">
        <v>992720</v>
      </c>
      <c r="G159" s="29" t="n">
        <v>784982</v>
      </c>
      <c r="H159" s="22">
        <f>G159-E159</f>
        <v/>
      </c>
      <c r="I159" s="22">
        <f>G159-F159</f>
        <v/>
      </c>
      <c r="J159" s="7" t="inlineStr">
        <is>
          <t>FY2020 CAFR (elcerrito.gov Archive ADID 5423)</t>
        </is>
      </c>
    </row>
    <row r="160">
      <c r="A160" s="95" t="n">
        <v>2020</v>
      </c>
      <c r="B160" s="13" t="inlineStr">
        <is>
          <t>Revenue</t>
        </is>
      </c>
      <c r="C160" s="13" t="inlineStr">
        <is>
          <t>Fines and penalties</t>
        </is>
      </c>
      <c r="D160" s="13" t="inlineStr">
        <is>
          <t>Fines and forfeitures</t>
        </is>
      </c>
      <c r="E160" s="29" t="n">
        <v>350600</v>
      </c>
      <c r="F160" s="29" t="n">
        <v>300600</v>
      </c>
      <c r="G160" s="29" t="n">
        <v>226597</v>
      </c>
      <c r="H160" s="22">
        <f>G160-E160</f>
        <v/>
      </c>
      <c r="I160" s="22">
        <f>G160-F160</f>
        <v/>
      </c>
      <c r="J160" s="7" t="inlineStr">
        <is>
          <t>FY2020 CAFR (elcerrito.gov Archive ADID 5423)</t>
        </is>
      </c>
    </row>
    <row r="161">
      <c r="A161" s="95" t="n">
        <v>2020</v>
      </c>
      <c r="B161" s="13" t="inlineStr">
        <is>
          <t>Revenue</t>
        </is>
      </c>
      <c r="C161" s="13" t="inlineStr">
        <is>
          <t>Use of money and property</t>
        </is>
      </c>
      <c r="D161" s="13" t="inlineStr">
        <is>
          <t>Use of money and property</t>
        </is>
      </c>
      <c r="E161" s="29" t="n">
        <v>106090</v>
      </c>
      <c r="F161" s="29" t="n">
        <v>106090</v>
      </c>
      <c r="G161" s="29" t="n">
        <v>272232</v>
      </c>
      <c r="H161" s="22">
        <f>G161-E161</f>
        <v/>
      </c>
      <c r="I161" s="22">
        <f>G161-F161</f>
        <v/>
      </c>
      <c r="J161" s="7" t="inlineStr">
        <is>
          <t>FY2020 CAFR (elcerrito.gov Archive ADID 5423)</t>
        </is>
      </c>
    </row>
    <row r="162">
      <c r="A162" s="95" t="n">
        <v>2020</v>
      </c>
      <c r="B162" s="13" t="inlineStr">
        <is>
          <t>Revenue</t>
        </is>
      </c>
      <c r="C162" s="13" t="inlineStr">
        <is>
          <t>Intergovernmental revenues</t>
        </is>
      </c>
      <c r="D162" s="13" t="inlineStr">
        <is>
          <t>Intergovernmental</t>
        </is>
      </c>
      <c r="E162" s="29" t="n">
        <v>3737650</v>
      </c>
      <c r="F162" s="29" t="n">
        <v>3837650</v>
      </c>
      <c r="G162" s="29" t="n">
        <v>3910792</v>
      </c>
      <c r="H162" s="22">
        <f>G162-E162</f>
        <v/>
      </c>
      <c r="I162" s="22">
        <f>G162-F162</f>
        <v/>
      </c>
      <c r="J162" s="7" t="inlineStr">
        <is>
          <t>FY2020 CAFR (elcerrito.gov Archive ADID 5423)</t>
        </is>
      </c>
    </row>
    <row r="163">
      <c r="A163" s="95" t="n">
        <v>2020</v>
      </c>
      <c r="B163" s="13" t="inlineStr">
        <is>
          <t>Revenue</t>
        </is>
      </c>
      <c r="C163" s="13" t="inlineStr">
        <is>
          <t>Charges for services</t>
        </is>
      </c>
      <c r="D163" s="13" t="inlineStr">
        <is>
          <t>Charges for services</t>
        </is>
      </c>
      <c r="E163" s="29" t="n">
        <v>7348040</v>
      </c>
      <c r="F163" s="29" t="n">
        <v>7348040</v>
      </c>
      <c r="G163" s="29" t="n">
        <v>5472601</v>
      </c>
      <c r="H163" s="22">
        <f>G163-E163</f>
        <v/>
      </c>
      <c r="I163" s="22">
        <f>G163-F163</f>
        <v/>
      </c>
      <c r="J163" s="7" t="inlineStr">
        <is>
          <t>FY2020 CAFR (elcerrito.gov Archive ADID 5423)</t>
        </is>
      </c>
    </row>
    <row r="164">
      <c r="A164" s="95" t="n">
        <v>2020</v>
      </c>
      <c r="B164" s="13" t="inlineStr">
        <is>
          <t>Revenue</t>
        </is>
      </c>
      <c r="C164" s="13" t="inlineStr">
        <is>
          <t>Other revenues</t>
        </is>
      </c>
      <c r="D164" s="13" t="inlineStr">
        <is>
          <t>Other revenues</t>
        </is>
      </c>
      <c r="E164" s="29" t="n">
        <v>84760</v>
      </c>
      <c r="F164" s="29" t="n">
        <v>84760</v>
      </c>
      <c r="G164" s="29" t="n">
        <v>118334</v>
      </c>
      <c r="H164" s="22">
        <f>G164-E164</f>
        <v/>
      </c>
      <c r="I164" s="22">
        <f>G164-F164</f>
        <v/>
      </c>
      <c r="J164" s="7" t="inlineStr">
        <is>
          <t>FY2020 CAFR (elcerrito.gov Archive ADID 5423)</t>
        </is>
      </c>
    </row>
    <row r="165">
      <c r="A165" s="95" t="n">
        <v>2020</v>
      </c>
      <c r="B165" s="13" t="inlineStr">
        <is>
          <t>Expenditure</t>
        </is>
      </c>
      <c r="C165" s="13" t="inlineStr">
        <is>
          <t>City council</t>
        </is>
      </c>
      <c r="D165" s="13" t="inlineStr">
        <is>
          <t>General government</t>
        </is>
      </c>
      <c r="E165" s="29" t="n">
        <v>99439</v>
      </c>
      <c r="F165" s="29" t="n">
        <v>199439</v>
      </c>
      <c r="G165" s="29" t="n">
        <v>159496</v>
      </c>
      <c r="H165" s="22">
        <f>G165-E165</f>
        <v/>
      </c>
      <c r="I165" s="22">
        <f>G165-F165</f>
        <v/>
      </c>
      <c r="J165" s="7" t="inlineStr">
        <is>
          <t>FY2020 CAFR (elcerrito.gov Archive ADID 5423)</t>
        </is>
      </c>
    </row>
    <row r="166">
      <c r="A166" s="95" t="n">
        <v>2020</v>
      </c>
      <c r="B166" s="13" t="inlineStr">
        <is>
          <t>Expenditure</t>
        </is>
      </c>
      <c r="C166" s="13" t="inlineStr">
        <is>
          <t>City manager</t>
        </is>
      </c>
      <c r="D166" s="13" t="inlineStr">
        <is>
          <t>General government</t>
        </is>
      </c>
      <c r="E166" s="29" t="n">
        <v>1197560</v>
      </c>
      <c r="F166" s="29" t="n">
        <v>1238246</v>
      </c>
      <c r="G166" s="29" t="n">
        <v>1194851</v>
      </c>
      <c r="H166" s="22">
        <f>G166-E166</f>
        <v/>
      </c>
      <c r="I166" s="22">
        <f>G166-F166</f>
        <v/>
      </c>
      <c r="J166" s="7" t="inlineStr">
        <is>
          <t>FY2020 CAFR (elcerrito.gov Archive ADID 5423)</t>
        </is>
      </c>
    </row>
    <row r="167">
      <c r="A167" s="95" t="n">
        <v>2020</v>
      </c>
      <c r="B167" s="13" t="inlineStr">
        <is>
          <t>Expenditure</t>
        </is>
      </c>
      <c r="C167" s="13" t="inlineStr">
        <is>
          <t>City attorney</t>
        </is>
      </c>
      <c r="D167" s="13" t="inlineStr">
        <is>
          <t>General government</t>
        </is>
      </c>
      <c r="E167" s="29" t="n">
        <v>309000</v>
      </c>
      <c r="F167" s="29" t="n">
        <v>309000</v>
      </c>
      <c r="G167" s="29" t="n">
        <v>334216</v>
      </c>
      <c r="H167" s="22">
        <f>G167-E167</f>
        <v/>
      </c>
      <c r="I167" s="22">
        <f>G167-F167</f>
        <v/>
      </c>
      <c r="J167" s="7" t="inlineStr">
        <is>
          <t>FY2020 CAFR (elcerrito.gov Archive ADID 5423)</t>
        </is>
      </c>
    </row>
    <row r="168">
      <c r="A168" s="95" t="n">
        <v>2020</v>
      </c>
      <c r="B168" s="13" t="inlineStr">
        <is>
          <t>Expenditure</t>
        </is>
      </c>
      <c r="C168" s="13" t="inlineStr">
        <is>
          <t>Financial services</t>
        </is>
      </c>
      <c r="D168" s="13" t="inlineStr">
        <is>
          <t>General government</t>
        </is>
      </c>
      <c r="E168" s="29" t="n">
        <v>1546168</v>
      </c>
      <c r="F168" s="29" t="n">
        <v>1512704</v>
      </c>
      <c r="G168" s="29" t="n">
        <v>1628028</v>
      </c>
      <c r="H168" s="22">
        <f>G168-E168</f>
        <v/>
      </c>
      <c r="I168" s="22">
        <f>G168-F168</f>
        <v/>
      </c>
      <c r="J168" s="7" t="inlineStr">
        <is>
          <t>FY2020 CAFR (elcerrito.gov Archive ADID 5423)</t>
        </is>
      </c>
    </row>
    <row r="169">
      <c r="A169" s="95" t="n">
        <v>2020</v>
      </c>
      <c r="B169" s="13" t="inlineStr">
        <is>
          <t>Expenditure</t>
        </is>
      </c>
      <c r="C169" s="13" t="inlineStr">
        <is>
          <t>City clerk</t>
        </is>
      </c>
      <c r="D169" s="13" t="inlineStr">
        <is>
          <t>General government</t>
        </is>
      </c>
      <c r="E169" s="29" t="n">
        <v>431990</v>
      </c>
      <c r="F169" s="29" t="n">
        <v>442958</v>
      </c>
      <c r="G169" s="29" t="n">
        <v>477609</v>
      </c>
      <c r="H169" s="22">
        <f>G169-E169</f>
        <v/>
      </c>
      <c r="I169" s="22">
        <f>G169-F169</f>
        <v/>
      </c>
      <c r="J169" s="7" t="inlineStr">
        <is>
          <t>FY2020 CAFR (elcerrito.gov Archive ADID 5423)</t>
        </is>
      </c>
    </row>
    <row r="170">
      <c r="A170" s="95" t="n">
        <v>2020</v>
      </c>
      <c r="B170" s="13" t="inlineStr">
        <is>
          <t>Expenditure</t>
        </is>
      </c>
      <c r="C170" s="13" t="inlineStr">
        <is>
          <t>Information systems</t>
        </is>
      </c>
      <c r="D170" s="13" t="inlineStr">
        <is>
          <t>General government</t>
        </is>
      </c>
      <c r="E170" s="29" t="n">
        <v>869657</v>
      </c>
      <c r="F170" s="29" t="n">
        <v>846414</v>
      </c>
      <c r="G170" s="29" t="n">
        <v>871895</v>
      </c>
      <c r="H170" s="22">
        <f>G170-E170</f>
        <v/>
      </c>
      <c r="I170" s="22">
        <f>G170-F170</f>
        <v/>
      </c>
      <c r="J170" s="7" t="inlineStr">
        <is>
          <t>FY2020 CAFR (elcerrito.gov Archive ADID 5423)</t>
        </is>
      </c>
    </row>
    <row r="171">
      <c r="A171" s="95" t="n">
        <v>2020</v>
      </c>
      <c r="B171" s="13" t="inlineStr">
        <is>
          <t>Expenditure</t>
        </is>
      </c>
      <c r="C171" s="13" t="inlineStr">
        <is>
          <t>Employee services</t>
        </is>
      </c>
      <c r="D171" s="13" t="inlineStr">
        <is>
          <t>General government</t>
        </is>
      </c>
      <c r="E171" s="29" t="n">
        <v>1215207</v>
      </c>
      <c r="F171" s="29" t="n">
        <v>1236995</v>
      </c>
      <c r="G171" s="29" t="n">
        <v>1332989</v>
      </c>
      <c r="H171" s="22">
        <f>G171-E171</f>
        <v/>
      </c>
      <c r="I171" s="22">
        <f>G171-F171</f>
        <v/>
      </c>
      <c r="J171" s="7" t="inlineStr">
        <is>
          <t>FY2020 CAFR (elcerrito.gov Archive ADID 5423)</t>
        </is>
      </c>
    </row>
    <row r="172">
      <c r="A172" s="95" t="n">
        <v>2020</v>
      </c>
      <c r="B172" s="13" t="inlineStr">
        <is>
          <t>Expenditure</t>
        </is>
      </c>
      <c r="C172" s="13" t="inlineStr">
        <is>
          <t>Public works</t>
        </is>
      </c>
      <c r="D172" s="13" t="inlineStr">
        <is>
          <t>Public works</t>
        </is>
      </c>
      <c r="E172" s="29" t="n">
        <v>2045964</v>
      </c>
      <c r="F172" s="29" t="n">
        <v>2139483</v>
      </c>
      <c r="G172" s="29" t="n">
        <v>1860308</v>
      </c>
      <c r="H172" s="22">
        <f>G172-E172</f>
        <v/>
      </c>
      <c r="I172" s="22">
        <f>G172-F172</f>
        <v/>
      </c>
      <c r="J172" s="7" t="inlineStr">
        <is>
          <t>FY2020 CAFR (elcerrito.gov Archive ADID 5423)</t>
        </is>
      </c>
    </row>
    <row r="173">
      <c r="A173" s="95" t="n">
        <v>2020</v>
      </c>
      <c r="B173" s="13" t="inlineStr">
        <is>
          <t>Expenditure</t>
        </is>
      </c>
      <c r="C173" s="13" t="inlineStr">
        <is>
          <t>Recreation</t>
        </is>
      </c>
      <c r="D173" s="13" t="inlineStr">
        <is>
          <t>Recreation</t>
        </is>
      </c>
      <c r="E173" s="29" t="n">
        <v>5984761</v>
      </c>
      <c r="F173" s="29" t="n">
        <v>5861578</v>
      </c>
      <c r="G173" s="29" t="n">
        <v>5351137</v>
      </c>
      <c r="H173" s="22">
        <f>G173-E173</f>
        <v/>
      </c>
      <c r="I173" s="22">
        <f>G173-F173</f>
        <v/>
      </c>
      <c r="J173" s="7" t="inlineStr">
        <is>
          <t>FY2020 CAFR (elcerrito.gov Archive ADID 5423)</t>
        </is>
      </c>
    </row>
    <row r="174">
      <c r="A174" s="95" t="n">
        <v>2020</v>
      </c>
      <c r="B174" s="13" t="inlineStr">
        <is>
          <t>Expenditure</t>
        </is>
      </c>
      <c r="C174" s="13" t="inlineStr">
        <is>
          <t>Community development</t>
        </is>
      </c>
      <c r="D174" s="13" t="inlineStr">
        <is>
          <t>Community development</t>
        </is>
      </c>
      <c r="E174" s="29" t="n">
        <v>2634931</v>
      </c>
      <c r="F174" s="29" t="n">
        <v>2640959</v>
      </c>
      <c r="G174" s="29" t="n">
        <v>2505481</v>
      </c>
      <c r="H174" s="22">
        <f>G174-E174</f>
        <v/>
      </c>
      <c r="I174" s="22">
        <f>G174-F174</f>
        <v/>
      </c>
      <c r="J174" s="7" t="inlineStr">
        <is>
          <t>FY2020 CAFR (elcerrito.gov Archive ADID 5423)</t>
        </is>
      </c>
    </row>
    <row r="175">
      <c r="A175" s="95" t="n">
        <v>2020</v>
      </c>
      <c r="B175" s="13" t="inlineStr">
        <is>
          <t>Expenditure</t>
        </is>
      </c>
      <c r="C175" s="13" t="inlineStr">
        <is>
          <t>Police</t>
        </is>
      </c>
      <c r="D175" s="13" t="inlineStr">
        <is>
          <t>Public safety - Police</t>
        </is>
      </c>
      <c r="E175" s="29" t="n">
        <v>12745173</v>
      </c>
      <c r="F175" s="29" t="n">
        <v>12514000</v>
      </c>
      <c r="G175" s="29" t="n">
        <v>12199388</v>
      </c>
      <c r="H175" s="22">
        <f>G175-E175</f>
        <v/>
      </c>
      <c r="I175" s="22">
        <f>G175-F175</f>
        <v/>
      </c>
      <c r="J175" s="7" t="inlineStr">
        <is>
          <t>FY2020 CAFR (elcerrito.gov Archive ADID 5423)</t>
        </is>
      </c>
    </row>
    <row r="176">
      <c r="A176" s="95" t="n">
        <v>2020</v>
      </c>
      <c r="B176" s="13" t="inlineStr">
        <is>
          <t>Expenditure</t>
        </is>
      </c>
      <c r="C176" s="13" t="inlineStr">
        <is>
          <t>Fire</t>
        </is>
      </c>
      <c r="D176" s="13" t="inlineStr">
        <is>
          <t>Public safety - Fire</t>
        </is>
      </c>
      <c r="E176" s="29" t="n">
        <v>10762911</v>
      </c>
      <c r="F176" s="29" t="n">
        <v>11177828</v>
      </c>
      <c r="G176" s="29" t="n">
        <v>11182414</v>
      </c>
      <c r="H176" s="22">
        <f>G176-E176</f>
        <v/>
      </c>
      <c r="I176" s="22">
        <f>G176-F176</f>
        <v/>
      </c>
      <c r="J176" s="7" t="inlineStr">
        <is>
          <t>FY2020 CAFR (elcerrito.gov Archive ADID 5423)</t>
        </is>
      </c>
    </row>
    <row r="177">
      <c r="A177" s="95" t="n">
        <v>2020</v>
      </c>
      <c r="B177" s="13" t="inlineStr">
        <is>
          <t>Expenditure</t>
        </is>
      </c>
      <c r="C177" s="13" t="inlineStr">
        <is>
          <t>Capital outlay</t>
        </is>
      </c>
      <c r="D177" s="13" t="inlineStr">
        <is>
          <t>Capital outlay</t>
        </is>
      </c>
      <c r="E177" s="29" t="n">
        <v>236000</v>
      </c>
      <c r="F177" s="29" t="n">
        <v>118775</v>
      </c>
      <c r="G177" s="29" t="n">
        <v>256324</v>
      </c>
      <c r="H177" s="22">
        <f>G177-E177</f>
        <v/>
      </c>
      <c r="I177" s="22">
        <f>G177-F177</f>
        <v/>
      </c>
      <c r="J177" s="7" t="inlineStr">
        <is>
          <t>FY2020 CAFR (elcerrito.gov Archive ADID 5423)</t>
        </is>
      </c>
    </row>
    <row r="178">
      <c r="A178" s="95" t="n">
        <v>2020</v>
      </c>
      <c r="B178" s="13" t="inlineStr">
        <is>
          <t>Expenditure</t>
        </is>
      </c>
      <c r="C178" s="13" t="inlineStr">
        <is>
          <t>Principal</t>
        </is>
      </c>
      <c r="D178" s="13" t="inlineStr">
        <is>
          <t>Debt service - principal</t>
        </is>
      </c>
      <c r="E178" s="29" t="n">
        <v>104386</v>
      </c>
      <c r="F178" s="29" t="n">
        <v>104386</v>
      </c>
      <c r="G178" s="29" t="n">
        <v>166493</v>
      </c>
      <c r="H178" s="22">
        <f>G178-E178</f>
        <v/>
      </c>
      <c r="I178" s="22">
        <f>G178-F178</f>
        <v/>
      </c>
      <c r="J178" s="7" t="inlineStr">
        <is>
          <t>FY2020 CAFR (elcerrito.gov Archive ADID 5423)</t>
        </is>
      </c>
    </row>
    <row r="179">
      <c r="A179" s="95" t="n">
        <v>2020</v>
      </c>
      <c r="B179" s="13" t="inlineStr">
        <is>
          <t>Expenditure</t>
        </is>
      </c>
      <c r="C179" s="13" t="inlineStr">
        <is>
          <t>Interest and fiscal charges</t>
        </is>
      </c>
      <c r="D179" s="13" t="inlineStr">
        <is>
          <t>Debt service - interest</t>
        </is>
      </c>
      <c r="E179" s="29" t="n">
        <v>26319</v>
      </c>
      <c r="F179" s="29" t="n">
        <v>26319</v>
      </c>
      <c r="G179" s="29" t="n">
        <v>165654</v>
      </c>
      <c r="H179" s="22">
        <f>G179-E179</f>
        <v/>
      </c>
      <c r="I179" s="22">
        <f>G179-F179</f>
        <v/>
      </c>
      <c r="J179" s="7" t="inlineStr">
        <is>
          <t>FY2020 CAFR (elcerrito.gov Archive ADID 5423)</t>
        </is>
      </c>
    </row>
    <row r="180">
      <c r="A180" s="95" t="n">
        <v>2020</v>
      </c>
      <c r="B180" s="13" t="inlineStr">
        <is>
          <t>Other financing</t>
        </is>
      </c>
      <c r="C180" s="13" t="inlineStr">
        <is>
          <t>Transfers in</t>
        </is>
      </c>
      <c r="D180" s="13" t="inlineStr">
        <is>
          <t>Transfers in</t>
        </is>
      </c>
      <c r="E180" s="29" t="n">
        <v>54671</v>
      </c>
      <c r="F180" s="29" t="n">
        <v>54671</v>
      </c>
      <c r="G180" s="29" t="n">
        <v>54671</v>
      </c>
      <c r="H180" s="22">
        <f>G180-E180</f>
        <v/>
      </c>
      <c r="I180" s="22">
        <f>G180-F180</f>
        <v/>
      </c>
      <c r="J180" s="7" t="inlineStr">
        <is>
          <t>FY2020 CAFR (elcerrito.gov Archive ADID 5423)</t>
        </is>
      </c>
    </row>
    <row r="181">
      <c r="A181" s="95" t="n">
        <v>2020</v>
      </c>
      <c r="B181" s="13" t="inlineStr">
        <is>
          <t>Other financing</t>
        </is>
      </c>
      <c r="C181" s="13" t="inlineStr">
        <is>
          <t>Transfers (out)</t>
        </is>
      </c>
      <c r="D181" s="13" t="inlineStr">
        <is>
          <t>Transfers out</t>
        </is>
      </c>
      <c r="E181" s="29" t="n">
        <v>-608328</v>
      </c>
      <c r="F181" s="29" t="n">
        <v>-608328</v>
      </c>
      <c r="G181" s="29" t="n">
        <v>-607522</v>
      </c>
      <c r="H181" s="22">
        <f>G181-E181</f>
        <v/>
      </c>
      <c r="I181" s="22">
        <f>G181-F181</f>
        <v/>
      </c>
      <c r="J181" s="7" t="inlineStr">
        <is>
          <t>FY2020 CAFR (elcerrito.gov Archive ADID 5423)</t>
        </is>
      </c>
    </row>
    <row r="182">
      <c r="A182" s="95" t="n">
        <v>2020</v>
      </c>
      <c r="B182" s="13" t="inlineStr">
        <is>
          <t>Other financing</t>
        </is>
      </c>
      <c r="C182" s="13" t="inlineStr">
        <is>
          <t>Capital lease financing</t>
        </is>
      </c>
      <c r="D182" s="13" t="inlineStr">
        <is>
          <t>Debt / lease financing proceeds</t>
        </is>
      </c>
      <c r="E182" s="29" t="n">
        <v>0</v>
      </c>
      <c r="F182" s="29" t="n">
        <v>0</v>
      </c>
      <c r="G182" s="29" t="n">
        <v>187346</v>
      </c>
      <c r="H182" s="22">
        <f>G182-E182</f>
        <v/>
      </c>
      <c r="I182" s="22">
        <f>G182-F182</f>
        <v/>
      </c>
      <c r="J182" s="7" t="inlineStr">
        <is>
          <t>FY2020 CAFR (elcerrito.gov Archive ADID 5423)</t>
        </is>
      </c>
    </row>
    <row r="183">
      <c r="A183" s="95" t="n">
        <v>2021</v>
      </c>
      <c r="B183" s="13" t="inlineStr">
        <is>
          <t>Revenue</t>
        </is>
      </c>
      <c r="C183" s="13" t="inlineStr">
        <is>
          <t>Property taxes</t>
        </is>
      </c>
      <c r="D183" s="13" t="inlineStr">
        <is>
          <t>Property taxes</t>
        </is>
      </c>
      <c r="E183" s="29" t="n">
        <v>10490001</v>
      </c>
      <c r="F183" s="29" t="n">
        <v>10290001</v>
      </c>
      <c r="G183" s="29" t="n">
        <v>10770532</v>
      </c>
      <c r="H183" s="22">
        <f>G183-E183</f>
        <v/>
      </c>
      <c r="I183" s="22">
        <f>G183-F183</f>
        <v/>
      </c>
      <c r="J183" s="7" t="inlineStr">
        <is>
          <t>FY2021 ACFR (elcerrito.gov Archive ADID 5807)</t>
        </is>
      </c>
    </row>
    <row r="184">
      <c r="A184" s="95" t="n">
        <v>2021</v>
      </c>
      <c r="B184" s="13" t="inlineStr">
        <is>
          <t>Revenue</t>
        </is>
      </c>
      <c r="C184" s="13" t="inlineStr">
        <is>
          <t>Taxes other than property</t>
        </is>
      </c>
      <c r="D184" s="13" t="inlineStr">
        <is>
          <t>Taxes other than property</t>
        </is>
      </c>
      <c r="E184" s="29" t="n">
        <v>17086000</v>
      </c>
      <c r="F184" s="29" t="n">
        <v>16886000</v>
      </c>
      <c r="G184" s="29" t="n">
        <v>21103813</v>
      </c>
      <c r="H184" s="22">
        <f>G184-E184</f>
        <v/>
      </c>
      <c r="I184" s="22">
        <f>G184-F184</f>
        <v/>
      </c>
      <c r="J184" s="7" t="inlineStr">
        <is>
          <t>FY2021 ACFR (elcerrito.gov Archive ADID 5807)</t>
        </is>
      </c>
    </row>
    <row r="185">
      <c r="A185" s="95" t="n">
        <v>2021</v>
      </c>
      <c r="B185" s="13" t="inlineStr">
        <is>
          <t>Revenue</t>
        </is>
      </c>
      <c r="C185" s="13" t="inlineStr">
        <is>
          <t>Licenses and permits</t>
        </is>
      </c>
      <c r="D185" s="13" t="inlineStr">
        <is>
          <t>Licenses and permits</t>
        </is>
      </c>
      <c r="E185" s="29" t="n">
        <v>758512</v>
      </c>
      <c r="F185" s="29" t="n">
        <v>758512</v>
      </c>
      <c r="G185" s="29" t="n">
        <v>656881</v>
      </c>
      <c r="H185" s="22">
        <f>G185-E185</f>
        <v/>
      </c>
      <c r="I185" s="22">
        <f>G185-F185</f>
        <v/>
      </c>
      <c r="J185" s="7" t="inlineStr">
        <is>
          <t>FY2021 ACFR (elcerrito.gov Archive ADID 5807)</t>
        </is>
      </c>
    </row>
    <row r="186">
      <c r="A186" s="95" t="n">
        <v>2021</v>
      </c>
      <c r="B186" s="13" t="inlineStr">
        <is>
          <t>Revenue</t>
        </is>
      </c>
      <c r="C186" s="13" t="inlineStr">
        <is>
          <t>Fines and penalties</t>
        </is>
      </c>
      <c r="D186" s="13" t="inlineStr">
        <is>
          <t>Fines and forfeitures</t>
        </is>
      </c>
      <c r="E186" s="29" t="n">
        <v>170000</v>
      </c>
      <c r="F186" s="29" t="n">
        <v>95000</v>
      </c>
      <c r="G186" s="29" t="n">
        <v>177525</v>
      </c>
      <c r="H186" s="22">
        <f>G186-E186</f>
        <v/>
      </c>
      <c r="I186" s="22">
        <f>G186-F186</f>
        <v/>
      </c>
      <c r="J186" s="7" t="inlineStr">
        <is>
          <t>FY2021 ACFR (elcerrito.gov Archive ADID 5807)</t>
        </is>
      </c>
    </row>
    <row r="187">
      <c r="A187" s="95" t="n">
        <v>2021</v>
      </c>
      <c r="B187" s="13" t="inlineStr">
        <is>
          <t>Revenue</t>
        </is>
      </c>
      <c r="C187" s="13" t="inlineStr">
        <is>
          <t>Use of money and property</t>
        </is>
      </c>
      <c r="D187" s="13" t="inlineStr">
        <is>
          <t>Use of money and property</t>
        </is>
      </c>
      <c r="E187" s="29" t="n">
        <v>106468</v>
      </c>
      <c r="F187" s="29" t="n">
        <v>104568</v>
      </c>
      <c r="G187" s="29" t="n">
        <v>159448</v>
      </c>
      <c r="H187" s="22">
        <f>G187-E187</f>
        <v/>
      </c>
      <c r="I187" s="22">
        <f>G187-F187</f>
        <v/>
      </c>
      <c r="J187" s="7" t="inlineStr">
        <is>
          <t>FY2021 ACFR (elcerrito.gov Archive ADID 5807)</t>
        </is>
      </c>
    </row>
    <row r="188">
      <c r="A188" s="95" t="n">
        <v>2021</v>
      </c>
      <c r="B188" s="13" t="inlineStr">
        <is>
          <t>Revenue</t>
        </is>
      </c>
      <c r="C188" s="13" t="inlineStr">
        <is>
          <t>Intergovernmental revenues</t>
        </is>
      </c>
      <c r="D188" s="13" t="inlineStr">
        <is>
          <t>Intergovernmental</t>
        </is>
      </c>
      <c r="E188" s="29" t="n">
        <v>4158654</v>
      </c>
      <c r="F188" s="29" t="n">
        <v>4858654</v>
      </c>
      <c r="G188" s="29" t="n">
        <v>5163658</v>
      </c>
      <c r="H188" s="22">
        <f>G188-E188</f>
        <v/>
      </c>
      <c r="I188" s="22">
        <f>G188-F188</f>
        <v/>
      </c>
      <c r="J188" s="7" t="inlineStr">
        <is>
          <t>FY2021 ACFR (elcerrito.gov Archive ADID 5807)</t>
        </is>
      </c>
    </row>
    <row r="189">
      <c r="A189" s="95" t="n">
        <v>2021</v>
      </c>
      <c r="B189" s="13" t="inlineStr">
        <is>
          <t>Revenue</t>
        </is>
      </c>
      <c r="C189" s="13" t="inlineStr">
        <is>
          <t>Charges for services</t>
        </is>
      </c>
      <c r="D189" s="13" t="inlineStr">
        <is>
          <t>Charges for services</t>
        </is>
      </c>
      <c r="E189" s="29" t="n">
        <v>6301563</v>
      </c>
      <c r="F189" s="29" t="n">
        <v>4822643</v>
      </c>
      <c r="G189" s="29" t="n">
        <v>4990472</v>
      </c>
      <c r="H189" s="22">
        <f>G189-E189</f>
        <v/>
      </c>
      <c r="I189" s="22">
        <f>G189-F189</f>
        <v/>
      </c>
      <c r="J189" s="7" t="inlineStr">
        <is>
          <t>FY2021 ACFR (elcerrito.gov Archive ADID 5807)</t>
        </is>
      </c>
    </row>
    <row r="190">
      <c r="A190" s="95" t="n">
        <v>2021</v>
      </c>
      <c r="B190" s="13" t="inlineStr">
        <is>
          <t>Revenue</t>
        </is>
      </c>
      <c r="C190" s="13" t="inlineStr">
        <is>
          <t>Other revenues</t>
        </is>
      </c>
      <c r="D190" s="13" t="inlineStr">
        <is>
          <t>Other revenues</t>
        </is>
      </c>
      <c r="E190" s="29" t="n">
        <v>237000</v>
      </c>
      <c r="F190" s="29" t="n">
        <v>153100</v>
      </c>
      <c r="G190" s="29" t="n">
        <v>165146</v>
      </c>
      <c r="H190" s="22">
        <f>G190-E190</f>
        <v/>
      </c>
      <c r="I190" s="22">
        <f>G190-F190</f>
        <v/>
      </c>
      <c r="J190" s="7" t="inlineStr">
        <is>
          <t>FY2021 ACFR (elcerrito.gov Archive ADID 5807)</t>
        </is>
      </c>
    </row>
    <row r="191">
      <c r="A191" s="95" t="n">
        <v>2021</v>
      </c>
      <c r="B191" s="13" t="inlineStr">
        <is>
          <t>Expenditure</t>
        </is>
      </c>
      <c r="C191" s="13" t="inlineStr">
        <is>
          <t>City council</t>
        </is>
      </c>
      <c r="D191" s="13" t="inlineStr">
        <is>
          <t>General government</t>
        </is>
      </c>
      <c r="E191" s="29" t="n">
        <v>213709</v>
      </c>
      <c r="F191" s="29" t="n">
        <v>213709</v>
      </c>
      <c r="G191" s="29" t="n">
        <v>162153</v>
      </c>
      <c r="H191" s="22">
        <f>G191-E191</f>
        <v/>
      </c>
      <c r="I191" s="22">
        <f>G191-F191</f>
        <v/>
      </c>
      <c r="J191" s="7" t="inlineStr">
        <is>
          <t>FY2021 ACFR (elcerrito.gov Archive ADID 5807)</t>
        </is>
      </c>
    </row>
    <row r="192">
      <c r="A192" s="95" t="n">
        <v>2021</v>
      </c>
      <c r="B192" s="13" t="inlineStr">
        <is>
          <t>Expenditure</t>
        </is>
      </c>
      <c r="C192" s="13" t="inlineStr">
        <is>
          <t>City manager</t>
        </is>
      </c>
      <c r="D192" s="13" t="inlineStr">
        <is>
          <t>General government</t>
        </is>
      </c>
      <c r="E192" s="29" t="n">
        <v>910264</v>
      </c>
      <c r="F192" s="29" t="n">
        <v>910264</v>
      </c>
      <c r="G192" s="29" t="n">
        <v>823014</v>
      </c>
      <c r="H192" s="22">
        <f>G192-E192</f>
        <v/>
      </c>
      <c r="I192" s="22">
        <f>G192-F192</f>
        <v/>
      </c>
      <c r="J192" s="7" t="inlineStr">
        <is>
          <t>FY2021 ACFR (elcerrito.gov Archive ADID 5807)</t>
        </is>
      </c>
    </row>
    <row r="193">
      <c r="A193" s="95" t="n">
        <v>2021</v>
      </c>
      <c r="B193" s="13" t="inlineStr">
        <is>
          <t>Expenditure</t>
        </is>
      </c>
      <c r="C193" s="13" t="inlineStr">
        <is>
          <t>City attorney</t>
        </is>
      </c>
      <c r="D193" s="13" t="inlineStr">
        <is>
          <t>General government</t>
        </is>
      </c>
      <c r="E193" s="29" t="n">
        <v>318270</v>
      </c>
      <c r="F193" s="29" t="n">
        <v>470434</v>
      </c>
      <c r="G193" s="29" t="n">
        <v>250543</v>
      </c>
      <c r="H193" s="22">
        <f>G193-E193</f>
        <v/>
      </c>
      <c r="I193" s="22">
        <f>G193-F193</f>
        <v/>
      </c>
      <c r="J193" s="7" t="inlineStr">
        <is>
          <t>FY2021 ACFR (elcerrito.gov Archive ADID 5807)</t>
        </is>
      </c>
    </row>
    <row r="194">
      <c r="A194" s="95" t="n">
        <v>2021</v>
      </c>
      <c r="B194" s="13" t="inlineStr">
        <is>
          <t>Expenditure</t>
        </is>
      </c>
      <c r="C194" s="13" t="inlineStr">
        <is>
          <t>Financial services</t>
        </is>
      </c>
      <c r="D194" s="13" t="inlineStr">
        <is>
          <t>General government</t>
        </is>
      </c>
      <c r="E194" s="29" t="n">
        <v>1313570</v>
      </c>
      <c r="F194" s="29" t="n">
        <v>1313570</v>
      </c>
      <c r="G194" s="29" t="n">
        <v>1295815</v>
      </c>
      <c r="H194" s="22">
        <f>G194-E194</f>
        <v/>
      </c>
      <c r="I194" s="22">
        <f>G194-F194</f>
        <v/>
      </c>
      <c r="J194" s="7" t="inlineStr">
        <is>
          <t>FY2021 ACFR (elcerrito.gov Archive ADID 5807)</t>
        </is>
      </c>
    </row>
    <row r="195">
      <c r="A195" s="95" t="n">
        <v>2021</v>
      </c>
      <c r="B195" s="13" t="inlineStr">
        <is>
          <t>Expenditure</t>
        </is>
      </c>
      <c r="C195" s="13" t="inlineStr">
        <is>
          <t>City clerk</t>
        </is>
      </c>
      <c r="D195" s="13" t="inlineStr">
        <is>
          <t>General government</t>
        </is>
      </c>
      <c r="E195" s="29" t="n">
        <v>396563</v>
      </c>
      <c r="F195" s="29" t="n">
        <v>354563</v>
      </c>
      <c r="G195" s="29" t="n">
        <v>362059</v>
      </c>
      <c r="H195" s="22">
        <f>G195-E195</f>
        <v/>
      </c>
      <c r="I195" s="22">
        <f>G195-F195</f>
        <v/>
      </c>
      <c r="J195" s="7" t="inlineStr">
        <is>
          <t>FY2021 ACFR (elcerrito.gov Archive ADID 5807)</t>
        </is>
      </c>
    </row>
    <row r="196">
      <c r="A196" s="95" t="n">
        <v>2021</v>
      </c>
      <c r="B196" s="13" t="inlineStr">
        <is>
          <t>Expenditure</t>
        </is>
      </c>
      <c r="C196" s="13" t="inlineStr">
        <is>
          <t>Information systems</t>
        </is>
      </c>
      <c r="D196" s="13" t="inlineStr">
        <is>
          <t>General government</t>
        </is>
      </c>
      <c r="E196" s="29" t="n">
        <v>881218</v>
      </c>
      <c r="F196" s="29" t="n">
        <v>881218</v>
      </c>
      <c r="G196" s="29" t="n">
        <v>886828</v>
      </c>
      <c r="H196" s="22">
        <f>G196-E196</f>
        <v/>
      </c>
      <c r="I196" s="22">
        <f>G196-F196</f>
        <v/>
      </c>
      <c r="J196" s="7" t="inlineStr">
        <is>
          <t>FY2021 ACFR (elcerrito.gov Archive ADID 5807)</t>
        </is>
      </c>
    </row>
    <row r="197">
      <c r="A197" s="95" t="n">
        <v>2021</v>
      </c>
      <c r="B197" s="13" t="inlineStr">
        <is>
          <t>Expenditure</t>
        </is>
      </c>
      <c r="C197" s="13" t="inlineStr">
        <is>
          <t>Employee services</t>
        </is>
      </c>
      <c r="D197" s="13" t="inlineStr">
        <is>
          <t>General government</t>
        </is>
      </c>
      <c r="E197" s="29" t="n">
        <v>1172677</v>
      </c>
      <c r="F197" s="29" t="n">
        <v>1172677</v>
      </c>
      <c r="G197" s="29" t="n">
        <v>1403511</v>
      </c>
      <c r="H197" s="22">
        <f>G197-E197</f>
        <v/>
      </c>
      <c r="I197" s="22">
        <f>G197-F197</f>
        <v/>
      </c>
      <c r="J197" s="7" t="inlineStr">
        <is>
          <t>FY2021 ACFR (elcerrito.gov Archive ADID 5807)</t>
        </is>
      </c>
    </row>
    <row r="198">
      <c r="A198" s="95" t="n">
        <v>2021</v>
      </c>
      <c r="B198" s="13" t="inlineStr">
        <is>
          <t>Expenditure</t>
        </is>
      </c>
      <c r="C198" s="13" t="inlineStr">
        <is>
          <t>Public works</t>
        </is>
      </c>
      <c r="D198" s="13" t="inlineStr">
        <is>
          <t>Public works</t>
        </is>
      </c>
      <c r="E198" s="29" t="n">
        <v>1629746</v>
      </c>
      <c r="F198" s="29" t="n">
        <v>1629746</v>
      </c>
      <c r="G198" s="29" t="n">
        <v>1448080</v>
      </c>
      <c r="H198" s="22">
        <f>G198-E198</f>
        <v/>
      </c>
      <c r="I198" s="22">
        <f>G198-F198</f>
        <v/>
      </c>
      <c r="J198" s="7" t="inlineStr">
        <is>
          <t>FY2021 ACFR (elcerrito.gov Archive ADID 5807)</t>
        </is>
      </c>
    </row>
    <row r="199">
      <c r="A199" s="95" t="n">
        <v>2021</v>
      </c>
      <c r="B199" s="13" t="inlineStr">
        <is>
          <t>Expenditure</t>
        </is>
      </c>
      <c r="C199" s="13" t="inlineStr">
        <is>
          <t>Recreation</t>
        </is>
      </c>
      <c r="D199" s="13" t="inlineStr">
        <is>
          <t>Recreation</t>
        </is>
      </c>
      <c r="E199" s="29" t="n">
        <v>4599700</v>
      </c>
      <c r="F199" s="29" t="n">
        <v>3802029</v>
      </c>
      <c r="G199" s="29" t="n">
        <v>3827764</v>
      </c>
      <c r="H199" s="22">
        <f>G199-E199</f>
        <v/>
      </c>
      <c r="I199" s="22">
        <f>G199-F199</f>
        <v/>
      </c>
      <c r="J199" s="7" t="inlineStr">
        <is>
          <t>FY2021 ACFR (elcerrito.gov Archive ADID 5807)</t>
        </is>
      </c>
    </row>
    <row r="200">
      <c r="A200" s="95" t="n">
        <v>2021</v>
      </c>
      <c r="B200" s="13" t="inlineStr">
        <is>
          <t>Expenditure</t>
        </is>
      </c>
      <c r="C200" s="13" t="inlineStr">
        <is>
          <t>Community development</t>
        </is>
      </c>
      <c r="D200" s="13" t="inlineStr">
        <is>
          <t>Community development</t>
        </is>
      </c>
      <c r="E200" s="29" t="n">
        <v>2477605</v>
      </c>
      <c r="F200" s="29" t="n">
        <v>2477605</v>
      </c>
      <c r="G200" s="29" t="n">
        <v>2532671</v>
      </c>
      <c r="H200" s="22">
        <f>G200-E200</f>
        <v/>
      </c>
      <c r="I200" s="22">
        <f>G200-F200</f>
        <v/>
      </c>
      <c r="J200" s="7" t="inlineStr">
        <is>
          <t>FY2021 ACFR (elcerrito.gov Archive ADID 5807)</t>
        </is>
      </c>
    </row>
    <row r="201">
      <c r="A201" s="95" t="n">
        <v>2021</v>
      </c>
      <c r="B201" s="13" t="inlineStr">
        <is>
          <t>Expenditure</t>
        </is>
      </c>
      <c r="C201" s="13" t="inlineStr">
        <is>
          <t>Police</t>
        </is>
      </c>
      <c r="D201" s="13" t="inlineStr">
        <is>
          <t>Public safety - Police</t>
        </is>
      </c>
      <c r="E201" s="29" t="n">
        <v>12233733</v>
      </c>
      <c r="F201" s="29" t="n">
        <v>12158733</v>
      </c>
      <c r="G201" s="29" t="n">
        <v>11629196</v>
      </c>
      <c r="H201" s="22">
        <f>G201-E201</f>
        <v/>
      </c>
      <c r="I201" s="22">
        <f>G201-F201</f>
        <v/>
      </c>
      <c r="J201" s="7" t="inlineStr">
        <is>
          <t>FY2021 ACFR (elcerrito.gov Archive ADID 5807)</t>
        </is>
      </c>
    </row>
    <row r="202">
      <c r="A202" s="95" t="n">
        <v>2021</v>
      </c>
      <c r="B202" s="13" t="inlineStr">
        <is>
          <t>Expenditure</t>
        </is>
      </c>
      <c r="C202" s="13" t="inlineStr">
        <is>
          <t>Fire</t>
        </is>
      </c>
      <c r="D202" s="13" t="inlineStr">
        <is>
          <t>Public safety - Fire</t>
        </is>
      </c>
      <c r="E202" s="29" t="n">
        <v>11645813</v>
      </c>
      <c r="F202" s="29" t="n">
        <v>12345813</v>
      </c>
      <c r="G202" s="29" t="n">
        <v>12168376</v>
      </c>
      <c r="H202" s="22">
        <f>G202-E202</f>
        <v/>
      </c>
      <c r="I202" s="22">
        <f>G202-F202</f>
        <v/>
      </c>
      <c r="J202" s="7" t="inlineStr">
        <is>
          <t>FY2021 ACFR (elcerrito.gov Archive ADID 5807)</t>
        </is>
      </c>
    </row>
    <row r="203">
      <c r="A203" s="95" t="n">
        <v>2021</v>
      </c>
      <c r="B203" s="13" t="inlineStr">
        <is>
          <t>Expenditure</t>
        </is>
      </c>
      <c r="C203" s="13" t="inlineStr">
        <is>
          <t>Capital outlay</t>
        </is>
      </c>
      <c r="D203" s="13" t="inlineStr">
        <is>
          <t>Capital outlay</t>
        </is>
      </c>
      <c r="E203" s="29" t="n">
        <v>21000</v>
      </c>
      <c r="F203" s="29" t="n">
        <v>21000</v>
      </c>
      <c r="G203" s="29" t="n">
        <v>26547</v>
      </c>
      <c r="H203" s="22">
        <f>G203-E203</f>
        <v/>
      </c>
      <c r="I203" s="22">
        <f>G203-F203</f>
        <v/>
      </c>
      <c r="J203" s="7" t="inlineStr">
        <is>
          <t>FY2021 ACFR (elcerrito.gov Archive ADID 5807)</t>
        </is>
      </c>
    </row>
    <row r="204">
      <c r="A204" s="95" t="n">
        <v>2021</v>
      </c>
      <c r="B204" s="13" t="inlineStr">
        <is>
          <t>Expenditure</t>
        </is>
      </c>
      <c r="C204" s="13" t="inlineStr">
        <is>
          <t>Principal</t>
        </is>
      </c>
      <c r="D204" s="13" t="inlineStr">
        <is>
          <t>Debt service - principal</t>
        </is>
      </c>
      <c r="E204" s="29" t="n">
        <v>130618</v>
      </c>
      <c r="F204" s="29" t="n">
        <v>130831</v>
      </c>
      <c r="G204" s="29" t="n">
        <v>163008</v>
      </c>
      <c r="H204" s="22">
        <f>G204-E204</f>
        <v/>
      </c>
      <c r="I204" s="22">
        <f>G204-F204</f>
        <v/>
      </c>
      <c r="J204" s="7" t="inlineStr">
        <is>
          <t>FY2021 ACFR (elcerrito.gov Archive ADID 5807)</t>
        </is>
      </c>
    </row>
    <row r="205">
      <c r="A205" s="95" t="n">
        <v>2021</v>
      </c>
      <c r="B205" s="13" t="inlineStr">
        <is>
          <t>Expenditure</t>
        </is>
      </c>
      <c r="C205" s="13" t="inlineStr">
        <is>
          <t>Interest and fiscal charges</t>
        </is>
      </c>
      <c r="D205" s="13" t="inlineStr">
        <is>
          <t>Debt service - interest</t>
        </is>
      </c>
      <c r="E205" s="29" t="n">
        <v>104739</v>
      </c>
      <c r="F205" s="29" t="n">
        <v>104478</v>
      </c>
      <c r="G205" s="29" t="n">
        <v>231066</v>
      </c>
      <c r="H205" s="22">
        <f>G205-E205</f>
        <v/>
      </c>
      <c r="I205" s="22">
        <f>G205-F205</f>
        <v/>
      </c>
      <c r="J205" s="7" t="inlineStr">
        <is>
          <t>FY2021 ACFR (elcerrito.gov Archive ADID 5807)</t>
        </is>
      </c>
    </row>
    <row r="206">
      <c r="A206" s="95" t="n">
        <v>2021</v>
      </c>
      <c r="B206" s="13" t="inlineStr">
        <is>
          <t>Other financing</t>
        </is>
      </c>
      <c r="C206" s="13" t="inlineStr">
        <is>
          <t>Transfers in</t>
        </is>
      </c>
      <c r="D206" s="13" t="inlineStr">
        <is>
          <t>Transfers in</t>
        </is>
      </c>
      <c r="E206" s="29" t="n">
        <v>53671</v>
      </c>
      <c r="F206" s="29" t="n">
        <v>53671</v>
      </c>
      <c r="G206" s="29" t="n">
        <v>3178240</v>
      </c>
      <c r="H206" s="22">
        <f>G206-E206</f>
        <v/>
      </c>
      <c r="I206" s="22">
        <f>G206-F206</f>
        <v/>
      </c>
      <c r="J206" s="7" t="inlineStr">
        <is>
          <t>FY2021 ACFR (elcerrito.gov Archive ADID 5807)</t>
        </is>
      </c>
    </row>
    <row r="207">
      <c r="A207" s="95" t="n">
        <v>2021</v>
      </c>
      <c r="B207" s="13" t="inlineStr">
        <is>
          <t>Other financing</t>
        </is>
      </c>
      <c r="C207" s="13" t="inlineStr">
        <is>
          <t>Transfers (out)</t>
        </is>
      </c>
      <c r="D207" s="13" t="inlineStr">
        <is>
          <t>Transfers out</t>
        </is>
      </c>
      <c r="E207" s="29" t="n">
        <v>-665612</v>
      </c>
      <c r="F207" s="29" t="n">
        <v>-665612</v>
      </c>
      <c r="G207" s="29" t="n">
        <v>-580612</v>
      </c>
      <c r="H207" s="22">
        <f>G207-E207</f>
        <v/>
      </c>
      <c r="I207" s="22">
        <f>G207-F207</f>
        <v/>
      </c>
      <c r="J207" s="7" t="inlineStr">
        <is>
          <t>FY2021 ACFR (elcerrito.gov Archive ADID 5807)</t>
        </is>
      </c>
    </row>
    <row r="208">
      <c r="A208" s="95" t="n">
        <v>2021</v>
      </c>
      <c r="B208" s="13" t="inlineStr">
        <is>
          <t>Special item</t>
        </is>
      </c>
      <c r="C208" s="13" t="inlineStr">
        <is>
          <t>Advance to El Cerrito Successor Agency write-off</t>
        </is>
      </c>
      <c r="D208" s="13" t="inlineStr">
        <is>
          <t>Special items</t>
        </is>
      </c>
      <c r="E208" s="29" t="n">
        <v>0</v>
      </c>
      <c r="F208" s="29" t="n">
        <v>0</v>
      </c>
      <c r="G208" s="29" t="n">
        <v>-1321189</v>
      </c>
      <c r="H208" s="22">
        <f>G208-E208</f>
        <v/>
      </c>
      <c r="I208" s="22">
        <f>G208-F208</f>
        <v/>
      </c>
      <c r="J208" s="7" t="inlineStr">
        <is>
          <t>FY2021 ACFR (elcerrito.gov Archive ADID 5807)</t>
        </is>
      </c>
    </row>
    <row r="209">
      <c r="A209" s="95" t="n">
        <v>2022</v>
      </c>
      <c r="B209" s="13" t="inlineStr">
        <is>
          <t>Revenue</t>
        </is>
      </c>
      <c r="C209" s="13" t="inlineStr">
        <is>
          <t>Taxes and assessments</t>
        </is>
      </c>
      <c r="D209" s="13" t="inlineStr">
        <is>
          <t>Taxes and assessments (combined)</t>
        </is>
      </c>
      <c r="E209" s="29" t="n">
        <v>26031617</v>
      </c>
      <c r="F209" s="29" t="n">
        <v>26831617</v>
      </c>
      <c r="G209" s="29" t="n">
        <v>32844740</v>
      </c>
      <c r="H209" s="22">
        <f>G209-E209</f>
        <v/>
      </c>
      <c r="I209" s="22">
        <f>G209-F209</f>
        <v/>
      </c>
      <c r="J209" s="7" t="inlineStr">
        <is>
          <t>FY2022 ACFR (elcerrito.gov Archive ADID 7232)</t>
        </is>
      </c>
    </row>
    <row r="210">
      <c r="A210" s="95" t="n">
        <v>2022</v>
      </c>
      <c r="B210" s="13" t="inlineStr">
        <is>
          <t>Revenue</t>
        </is>
      </c>
      <c r="C210" s="13" t="inlineStr">
        <is>
          <t>Licenses and permits</t>
        </is>
      </c>
      <c r="D210" s="13" t="inlineStr">
        <is>
          <t>Licenses and permits</t>
        </is>
      </c>
      <c r="E210" s="29" t="n">
        <v>636112</v>
      </c>
      <c r="F210" s="29" t="n">
        <v>1136112</v>
      </c>
      <c r="G210" s="29" t="n">
        <v>1440972</v>
      </c>
      <c r="H210" s="22">
        <f>G210-E210</f>
        <v/>
      </c>
      <c r="I210" s="22">
        <f>G210-F210</f>
        <v/>
      </c>
      <c r="J210" s="7" t="inlineStr">
        <is>
          <t>FY2022 ACFR (elcerrito.gov Archive ADID 7232)</t>
        </is>
      </c>
    </row>
    <row r="211">
      <c r="A211" s="95" t="n">
        <v>2022</v>
      </c>
      <c r="B211" s="13" t="inlineStr">
        <is>
          <t>Revenue</t>
        </is>
      </c>
      <c r="C211" s="13" t="inlineStr">
        <is>
          <t>Fines and forfeitures</t>
        </is>
      </c>
      <c r="D211" s="13" t="inlineStr">
        <is>
          <t>Fines and forfeitures</t>
        </is>
      </c>
      <c r="E211" s="29" t="n">
        <v>140000</v>
      </c>
      <c r="F211" s="29" t="n">
        <v>140000</v>
      </c>
      <c r="G211" s="29" t="n">
        <v>152343</v>
      </c>
      <c r="H211" s="22">
        <f>G211-E211</f>
        <v/>
      </c>
      <c r="I211" s="22">
        <f>G211-F211</f>
        <v/>
      </c>
      <c r="J211" s="7" t="inlineStr">
        <is>
          <t>FY2022 ACFR (elcerrito.gov Archive ADID 7232)</t>
        </is>
      </c>
    </row>
    <row r="212">
      <c r="A212" s="95" t="n">
        <v>2022</v>
      </c>
      <c r="B212" s="13" t="inlineStr">
        <is>
          <t>Revenue</t>
        </is>
      </c>
      <c r="C212" s="13" t="inlineStr">
        <is>
          <t>Intergovernmental</t>
        </is>
      </c>
      <c r="D212" s="13" t="inlineStr">
        <is>
          <t>Intergovernmental</t>
        </is>
      </c>
      <c r="E212" s="29" t="n">
        <v>7312900</v>
      </c>
      <c r="F212" s="29" t="n">
        <v>7808900</v>
      </c>
      <c r="G212" s="29" t="n">
        <v>4844428</v>
      </c>
      <c r="H212" s="22">
        <f>G212-E212</f>
        <v/>
      </c>
      <c r="I212" s="22">
        <f>G212-F212</f>
        <v/>
      </c>
      <c r="J212" s="7" t="inlineStr">
        <is>
          <t>FY2022 ACFR (elcerrito.gov Archive ADID 7232)</t>
        </is>
      </c>
    </row>
    <row r="213">
      <c r="A213" s="95" t="n">
        <v>2022</v>
      </c>
      <c r="B213" s="13" t="inlineStr">
        <is>
          <t>Revenue</t>
        </is>
      </c>
      <c r="C213" s="13" t="inlineStr">
        <is>
          <t>Use of money and property</t>
        </is>
      </c>
      <c r="D213" s="13" t="inlineStr">
        <is>
          <t>Use of money and property</t>
        </is>
      </c>
      <c r="E213" s="29" t="n">
        <v>353968</v>
      </c>
      <c r="F213" s="29" t="n">
        <v>353968</v>
      </c>
      <c r="G213" s="29" t="n">
        <v>153515</v>
      </c>
      <c r="H213" s="22">
        <f>G213-E213</f>
        <v/>
      </c>
      <c r="I213" s="22">
        <f>G213-F213</f>
        <v/>
      </c>
      <c r="J213" s="7" t="inlineStr">
        <is>
          <t>FY2022 ACFR (elcerrito.gov Archive ADID 7232)</t>
        </is>
      </c>
    </row>
    <row r="214">
      <c r="A214" s="95" t="n">
        <v>2022</v>
      </c>
      <c r="B214" s="13" t="inlineStr">
        <is>
          <t>Revenue</t>
        </is>
      </c>
      <c r="C214" s="13" t="inlineStr">
        <is>
          <t>Charges for Services</t>
        </is>
      </c>
      <c r="D214" s="13" t="inlineStr">
        <is>
          <t>Charges for services</t>
        </is>
      </c>
      <c r="E214" s="29" t="n">
        <v>4800000</v>
      </c>
      <c r="F214" s="29" t="n">
        <v>5483000</v>
      </c>
      <c r="G214" s="29" t="n">
        <v>7405175</v>
      </c>
      <c r="H214" s="22">
        <f>G214-E214</f>
        <v/>
      </c>
      <c r="I214" s="22">
        <f>G214-F214</f>
        <v/>
      </c>
      <c r="J214" s="7" t="inlineStr">
        <is>
          <t>FY2022 ACFR (elcerrito.gov Archive ADID 7232)</t>
        </is>
      </c>
    </row>
    <row r="215">
      <c r="A215" s="95" t="n">
        <v>2022</v>
      </c>
      <c r="B215" s="13" t="inlineStr">
        <is>
          <t>Revenue</t>
        </is>
      </c>
      <c r="C215" s="13" t="inlineStr">
        <is>
          <t>Other Revenue</t>
        </is>
      </c>
      <c r="D215" s="13" t="inlineStr">
        <is>
          <t>Other revenues</t>
        </is>
      </c>
      <c r="E215" s="29" t="n">
        <v>175000</v>
      </c>
      <c r="F215" s="29" t="n">
        <v>175000</v>
      </c>
      <c r="G215" s="29" t="n">
        <v>183566</v>
      </c>
      <c r="H215" s="22">
        <f>G215-E215</f>
        <v/>
      </c>
      <c r="I215" s="22">
        <f>G215-F215</f>
        <v/>
      </c>
      <c r="J215" s="7" t="inlineStr">
        <is>
          <t>FY2022 ACFR (elcerrito.gov Archive ADID 7232)</t>
        </is>
      </c>
    </row>
    <row r="216">
      <c r="A216" s="95" t="n">
        <v>2022</v>
      </c>
      <c r="B216" s="13" t="inlineStr">
        <is>
          <t>Expenditure</t>
        </is>
      </c>
      <c r="C216" s="13" t="inlineStr">
        <is>
          <t>General government</t>
        </is>
      </c>
      <c r="D216" s="13" t="inlineStr">
        <is>
          <t>General government</t>
        </is>
      </c>
      <c r="E216" s="29" t="n">
        <v>5623469</v>
      </c>
      <c r="F216" s="29" t="n">
        <v>6193569</v>
      </c>
      <c r="G216" s="29" t="n">
        <v>5958210</v>
      </c>
      <c r="H216" s="22">
        <f>G216-E216</f>
        <v/>
      </c>
      <c r="I216" s="22">
        <f>G216-F216</f>
        <v/>
      </c>
      <c r="J216" s="7" t="inlineStr">
        <is>
          <t>FY2022 ACFR (elcerrito.gov Archive ADID 7232)</t>
        </is>
      </c>
    </row>
    <row r="217">
      <c r="A217" s="95" t="n">
        <v>2022</v>
      </c>
      <c r="B217" s="13" t="inlineStr">
        <is>
          <t>Expenditure</t>
        </is>
      </c>
      <c r="C217" s="13" t="inlineStr">
        <is>
          <t>Public works</t>
        </is>
      </c>
      <c r="D217" s="13" t="inlineStr">
        <is>
          <t>Public works</t>
        </is>
      </c>
      <c r="E217" s="29" t="n">
        <v>1696985</v>
      </c>
      <c r="F217" s="29" t="n">
        <v>2044065</v>
      </c>
      <c r="G217" s="29" t="n">
        <v>1884039</v>
      </c>
      <c r="H217" s="22">
        <f>G217-E217</f>
        <v/>
      </c>
      <c r="I217" s="22">
        <f>G217-F217</f>
        <v/>
      </c>
      <c r="J217" s="7" t="inlineStr">
        <is>
          <t>FY2022 ACFR (elcerrito.gov Archive ADID 7232)</t>
        </is>
      </c>
    </row>
    <row r="218">
      <c r="A218" s="95" t="n">
        <v>2022</v>
      </c>
      <c r="B218" s="13" t="inlineStr">
        <is>
          <t>Expenditure</t>
        </is>
      </c>
      <c r="C218" s="13" t="inlineStr">
        <is>
          <t>Recreation</t>
        </is>
      </c>
      <c r="D218" s="13" t="inlineStr">
        <is>
          <t>Recreation</t>
        </is>
      </c>
      <c r="E218" s="29" t="n">
        <v>4475719</v>
      </c>
      <c r="F218" s="29" t="n">
        <v>4507719</v>
      </c>
      <c r="G218" s="29" t="n">
        <v>4336021</v>
      </c>
      <c r="H218" s="22">
        <f>G218-E218</f>
        <v/>
      </c>
      <c r="I218" s="22">
        <f>G218-F218</f>
        <v/>
      </c>
      <c r="J218" s="7" t="inlineStr">
        <is>
          <t>FY2022 ACFR (elcerrito.gov Archive ADID 7232)</t>
        </is>
      </c>
    </row>
    <row r="219">
      <c r="A219" s="95" t="n">
        <v>2022</v>
      </c>
      <c r="B219" s="13" t="inlineStr">
        <is>
          <t>Expenditure</t>
        </is>
      </c>
      <c r="C219" s="13" t="inlineStr">
        <is>
          <t>Community development</t>
        </is>
      </c>
      <c r="D219" s="13" t="inlineStr">
        <is>
          <t>Community development</t>
        </is>
      </c>
      <c r="E219" s="29" t="n">
        <v>2548257</v>
      </c>
      <c r="F219" s="29" t="n">
        <v>3273257</v>
      </c>
      <c r="G219" s="29" t="n">
        <v>3064072</v>
      </c>
      <c r="H219" s="22">
        <f>G219-E219</f>
        <v/>
      </c>
      <c r="I219" s="22">
        <f>G219-F219</f>
        <v/>
      </c>
      <c r="J219" s="7" t="inlineStr">
        <is>
          <t>FY2022 ACFR (elcerrito.gov Archive ADID 7232)</t>
        </is>
      </c>
    </row>
    <row r="220">
      <c r="A220" s="95" t="n">
        <v>2022</v>
      </c>
      <c r="B220" s="13" t="inlineStr">
        <is>
          <t>Expenditure</t>
        </is>
      </c>
      <c r="C220" s="13" t="inlineStr">
        <is>
          <t>Public Safety</t>
        </is>
      </c>
      <c r="D220" s="13" t="inlineStr">
        <is>
          <t>Public safety (combined)</t>
        </is>
      </c>
      <c r="E220" s="29" t="n">
        <v>24599220</v>
      </c>
      <c r="F220" s="29" t="n">
        <v>25199020</v>
      </c>
      <c r="G220" s="29" t="n">
        <v>24525779</v>
      </c>
      <c r="H220" s="22">
        <f>G220-E220</f>
        <v/>
      </c>
      <c r="I220" s="22">
        <f>G220-F220</f>
        <v/>
      </c>
      <c r="J220" s="7" t="inlineStr">
        <is>
          <t>FY2022 ACFR (elcerrito.gov Archive ADID 7232)</t>
        </is>
      </c>
    </row>
    <row r="221">
      <c r="A221" s="95" t="n">
        <v>2022</v>
      </c>
      <c r="B221" s="13" t="inlineStr">
        <is>
          <t>Expenditure</t>
        </is>
      </c>
      <c r="C221" s="13" t="inlineStr">
        <is>
          <t>Capital outlay</t>
        </is>
      </c>
      <c r="D221" s="13" t="inlineStr">
        <is>
          <t>Capital outlay</t>
        </is>
      </c>
      <c r="E221" s="29" t="n">
        <v>29381</v>
      </c>
      <c r="F221" s="29" t="n">
        <v>157480</v>
      </c>
      <c r="G221" s="29" t="n">
        <v>87588</v>
      </c>
      <c r="H221" s="22">
        <f>G221-E221</f>
        <v/>
      </c>
      <c r="I221" s="22">
        <f>G221-F221</f>
        <v/>
      </c>
      <c r="J221" s="7" t="inlineStr">
        <is>
          <t>FY2022 ACFR (elcerrito.gov Archive ADID 7232)</t>
        </is>
      </c>
    </row>
    <row r="222">
      <c r="A222" s="95" t="n">
        <v>2022</v>
      </c>
      <c r="B222" s="13" t="inlineStr">
        <is>
          <t>Expenditure</t>
        </is>
      </c>
      <c r="C222" s="13" t="inlineStr">
        <is>
          <t>Principal retirement</t>
        </is>
      </c>
      <c r="D222" s="13" t="inlineStr">
        <is>
          <t>Debt service - principal</t>
        </is>
      </c>
      <c r="E222" s="29" t="n">
        <v>131106</v>
      </c>
      <c r="F222" s="29" t="n">
        <v>131106</v>
      </c>
      <c r="G222" s="29" t="n">
        <v>256711</v>
      </c>
      <c r="H222" s="22">
        <f>G222-E222</f>
        <v/>
      </c>
      <c r="I222" s="22">
        <f>G222-F222</f>
        <v/>
      </c>
      <c r="J222" s="7" t="inlineStr">
        <is>
          <t>FY2022 ACFR (elcerrito.gov Archive ADID 7232)</t>
        </is>
      </c>
    </row>
    <row r="223">
      <c r="A223" s="95" t="n">
        <v>2022</v>
      </c>
      <c r="B223" s="13" t="inlineStr">
        <is>
          <t>Expenditure</t>
        </is>
      </c>
      <c r="C223" s="13" t="inlineStr">
        <is>
          <t>Interest and fiscal charges</t>
        </is>
      </c>
      <c r="D223" s="13" t="inlineStr">
        <is>
          <t>Debt service - interest</t>
        </is>
      </c>
      <c r="E223" s="29" t="n">
        <v>155130</v>
      </c>
      <c r="F223" s="29" t="n">
        <v>155130</v>
      </c>
      <c r="G223" s="29" t="n">
        <v>105417</v>
      </c>
      <c r="H223" s="22">
        <f>G223-E223</f>
        <v/>
      </c>
      <c r="I223" s="22">
        <f>G223-F223</f>
        <v/>
      </c>
      <c r="J223" s="7" t="inlineStr">
        <is>
          <t>FY2022 ACFR (elcerrito.gov Archive ADID 7232)</t>
        </is>
      </c>
    </row>
    <row r="224">
      <c r="A224" s="95" t="n">
        <v>2022</v>
      </c>
      <c r="B224" s="13" t="inlineStr">
        <is>
          <t>Other financing</t>
        </is>
      </c>
      <c r="C224" s="13" t="inlineStr">
        <is>
          <t>Transfers in</t>
        </is>
      </c>
      <c r="D224" s="13" t="inlineStr">
        <is>
          <t>Transfers in</t>
        </is>
      </c>
      <c r="E224" s="29" t="n">
        <v>952650</v>
      </c>
      <c r="F224" s="29" t="n">
        <v>952650</v>
      </c>
      <c r="G224" s="29" t="n">
        <v>3254622</v>
      </c>
      <c r="H224" s="22">
        <f>G224-E224</f>
        <v/>
      </c>
      <c r="I224" s="22">
        <f>G224-F224</f>
        <v/>
      </c>
      <c r="J224" s="7" t="inlineStr">
        <is>
          <t>FY2022 ACFR (elcerrito.gov Archive ADID 7232)</t>
        </is>
      </c>
    </row>
    <row r="225">
      <c r="A225" s="95" t="n">
        <v>2022</v>
      </c>
      <c r="B225" s="13" t="inlineStr">
        <is>
          <t>Other financing</t>
        </is>
      </c>
      <c r="C225" s="13" t="inlineStr">
        <is>
          <t>Transfers out</t>
        </is>
      </c>
      <c r="D225" s="13" t="inlineStr">
        <is>
          <t>Transfers out</t>
        </is>
      </c>
      <c r="E225" s="29" t="n">
        <v>-665612</v>
      </c>
      <c r="F225" s="29" t="n">
        <v>-665612</v>
      </c>
      <c r="G225" s="29" t="n">
        <v>-580612</v>
      </c>
      <c r="H225" s="22">
        <f>G225-E225</f>
        <v/>
      </c>
      <c r="I225" s="22">
        <f>G225-F225</f>
        <v/>
      </c>
      <c r="J225" s="7" t="inlineStr">
        <is>
          <t>FY2022 ACFR (elcerrito.gov Archive ADID 7232)</t>
        </is>
      </c>
    </row>
    <row r="226">
      <c r="A226" s="95" t="n">
        <v>2023</v>
      </c>
      <c r="B226" s="13" t="inlineStr">
        <is>
          <t>Revenue</t>
        </is>
      </c>
      <c r="C226" s="13" t="inlineStr">
        <is>
          <t>Taxes and assessments</t>
        </is>
      </c>
      <c r="D226" s="13" t="inlineStr">
        <is>
          <t>Taxes and assessments (combined)</t>
        </is>
      </c>
      <c r="E226" s="29" t="n">
        <v>32394817</v>
      </c>
      <c r="F226" s="29" t="n">
        <v>32394817</v>
      </c>
      <c r="G226" s="29" t="n">
        <v>36345678</v>
      </c>
      <c r="H226" s="22">
        <f>G226-E226</f>
        <v/>
      </c>
      <c r="I226" s="22">
        <f>G226-F226</f>
        <v/>
      </c>
      <c r="J226" s="7" t="inlineStr">
        <is>
          <t>FY2023 ACFR (elcerrito.gov Archive ADID 7528)</t>
        </is>
      </c>
    </row>
    <row r="227">
      <c r="A227" s="95" t="n">
        <v>2023</v>
      </c>
      <c r="B227" s="13" t="inlineStr">
        <is>
          <t>Revenue</t>
        </is>
      </c>
      <c r="C227" s="13" t="inlineStr">
        <is>
          <t>Licenses and permits</t>
        </is>
      </c>
      <c r="D227" s="13" t="inlineStr">
        <is>
          <t>Licenses and permits</t>
        </is>
      </c>
      <c r="E227" s="29" t="n">
        <v>893864</v>
      </c>
      <c r="F227" s="29" t="n">
        <v>893864</v>
      </c>
      <c r="G227" s="29" t="n">
        <v>1051537</v>
      </c>
      <c r="H227" s="22">
        <f>G227-E227</f>
        <v/>
      </c>
      <c r="I227" s="22">
        <f>G227-F227</f>
        <v/>
      </c>
      <c r="J227" s="7" t="inlineStr">
        <is>
          <t>FY2023 ACFR (elcerrito.gov Archive ADID 7528)</t>
        </is>
      </c>
    </row>
    <row r="228">
      <c r="A228" s="95" t="n">
        <v>2023</v>
      </c>
      <c r="B228" s="13" t="inlineStr">
        <is>
          <t>Revenue</t>
        </is>
      </c>
      <c r="C228" s="13" t="inlineStr">
        <is>
          <t>Fines and forfeitures</t>
        </is>
      </c>
      <c r="D228" s="13" t="inlineStr">
        <is>
          <t>Fines and forfeitures</t>
        </is>
      </c>
      <c r="E228" s="29" t="n">
        <v>140000</v>
      </c>
      <c r="F228" s="29" t="n">
        <v>140000</v>
      </c>
      <c r="G228" s="29" t="n">
        <v>115407</v>
      </c>
      <c r="H228" s="22">
        <f>G228-E228</f>
        <v/>
      </c>
      <c r="I228" s="22">
        <f>G228-F228</f>
        <v/>
      </c>
      <c r="J228" s="7" t="inlineStr">
        <is>
          <t>FY2023 ACFR (elcerrito.gov Archive ADID 7528)</t>
        </is>
      </c>
    </row>
    <row r="229">
      <c r="A229" s="95" t="n">
        <v>2023</v>
      </c>
      <c r="B229" s="13" t="inlineStr">
        <is>
          <t>Revenue</t>
        </is>
      </c>
      <c r="C229" s="13" t="inlineStr">
        <is>
          <t>Intergovernmental</t>
        </is>
      </c>
      <c r="D229" s="13" t="inlineStr">
        <is>
          <t>Intergovernmental</t>
        </is>
      </c>
      <c r="E229" s="29" t="n">
        <v>5009048</v>
      </c>
      <c r="F229" s="29" t="n">
        <v>5347938</v>
      </c>
      <c r="G229" s="29" t="n">
        <v>4834007</v>
      </c>
      <c r="H229" s="22">
        <f>G229-E229</f>
        <v/>
      </c>
      <c r="I229" s="22">
        <f>G229-F229</f>
        <v/>
      </c>
      <c r="J229" s="7" t="inlineStr">
        <is>
          <t>FY2023 ACFR (elcerrito.gov Archive ADID 7528)</t>
        </is>
      </c>
    </row>
    <row r="230">
      <c r="A230" s="95" t="n">
        <v>2023</v>
      </c>
      <c r="B230" s="13" t="inlineStr">
        <is>
          <t>Revenue</t>
        </is>
      </c>
      <c r="C230" s="13" t="inlineStr">
        <is>
          <t>Use of money and property</t>
        </is>
      </c>
      <c r="D230" s="13" t="inlineStr">
        <is>
          <t>Use of money and property</t>
        </is>
      </c>
      <c r="E230" s="29" t="n">
        <v>141542</v>
      </c>
      <c r="F230" s="29" t="n">
        <v>141542</v>
      </c>
      <c r="G230" s="29" t="n">
        <v>362136</v>
      </c>
      <c r="H230" s="22">
        <f>G230-E230</f>
        <v/>
      </c>
      <c r="I230" s="22">
        <f>G230-F230</f>
        <v/>
      </c>
      <c r="J230" s="7" t="inlineStr">
        <is>
          <t>FY2023 ACFR (elcerrito.gov Archive ADID 7528)</t>
        </is>
      </c>
    </row>
    <row r="231">
      <c r="A231" s="95" t="n">
        <v>2023</v>
      </c>
      <c r="B231" s="13" t="inlineStr">
        <is>
          <t>Revenue</t>
        </is>
      </c>
      <c r="C231" s="13" t="inlineStr">
        <is>
          <t>Charges for Services</t>
        </is>
      </c>
      <c r="D231" s="13" t="inlineStr">
        <is>
          <t>Charges for services</t>
        </is>
      </c>
      <c r="E231" s="29" t="n">
        <v>6958174</v>
      </c>
      <c r="F231" s="29" t="n">
        <v>7717905</v>
      </c>
      <c r="G231" s="29" t="n">
        <v>7856106</v>
      </c>
      <c r="H231" s="22">
        <f>G231-E231</f>
        <v/>
      </c>
      <c r="I231" s="22">
        <f>G231-F231</f>
        <v/>
      </c>
      <c r="J231" s="7" t="inlineStr">
        <is>
          <t>FY2023 ACFR (elcerrito.gov Archive ADID 7528)</t>
        </is>
      </c>
    </row>
    <row r="232">
      <c r="A232" s="95" t="n">
        <v>2023</v>
      </c>
      <c r="B232" s="13" t="inlineStr">
        <is>
          <t>Revenue</t>
        </is>
      </c>
      <c r="C232" s="13" t="inlineStr">
        <is>
          <t>Other Revenue</t>
        </is>
      </c>
      <c r="D232" s="13" t="inlineStr">
        <is>
          <t>Other revenues</t>
        </is>
      </c>
      <c r="E232" s="29" t="n">
        <v>136000</v>
      </c>
      <c r="F232" s="29" t="n">
        <v>261000</v>
      </c>
      <c r="G232" s="29" t="n">
        <v>249732</v>
      </c>
      <c r="H232" s="22">
        <f>G232-E232</f>
        <v/>
      </c>
      <c r="I232" s="22">
        <f>G232-F232</f>
        <v/>
      </c>
      <c r="J232" s="7" t="inlineStr">
        <is>
          <t>FY2023 ACFR (elcerrito.gov Archive ADID 7528)</t>
        </is>
      </c>
    </row>
    <row r="233">
      <c r="A233" s="95" t="n">
        <v>2023</v>
      </c>
      <c r="B233" s="13" t="inlineStr">
        <is>
          <t>Expenditure</t>
        </is>
      </c>
      <c r="C233" s="13" t="inlineStr">
        <is>
          <t>General government</t>
        </is>
      </c>
      <c r="D233" s="13" t="inlineStr">
        <is>
          <t>General government</t>
        </is>
      </c>
      <c r="E233" s="29" t="n">
        <v>6552613</v>
      </c>
      <c r="F233" s="29" t="n">
        <v>7256447</v>
      </c>
      <c r="G233" s="29" t="n">
        <v>6974539</v>
      </c>
      <c r="H233" s="22">
        <f>G233-E233</f>
        <v/>
      </c>
      <c r="I233" s="22">
        <f>G233-F233</f>
        <v/>
      </c>
      <c r="J233" s="7" t="inlineStr">
        <is>
          <t>FY2023 ACFR (elcerrito.gov Archive ADID 7528)</t>
        </is>
      </c>
    </row>
    <row r="234">
      <c r="A234" s="95" t="n">
        <v>2023</v>
      </c>
      <c r="B234" s="13" t="inlineStr">
        <is>
          <t>Expenditure</t>
        </is>
      </c>
      <c r="C234" s="13" t="inlineStr">
        <is>
          <t>Public works</t>
        </is>
      </c>
      <c r="D234" s="13" t="inlineStr">
        <is>
          <t>Public works</t>
        </is>
      </c>
      <c r="E234" s="29" t="n">
        <v>2285220</v>
      </c>
      <c r="F234" s="29" t="n">
        <v>2600994</v>
      </c>
      <c r="G234" s="29" t="n">
        <v>2250465</v>
      </c>
      <c r="H234" s="22">
        <f>G234-E234</f>
        <v/>
      </c>
      <c r="I234" s="22">
        <f>G234-F234</f>
        <v/>
      </c>
      <c r="J234" s="7" t="inlineStr">
        <is>
          <t>FY2023 ACFR (elcerrito.gov Archive ADID 7528)</t>
        </is>
      </c>
    </row>
    <row r="235">
      <c r="A235" s="95" t="n">
        <v>2023</v>
      </c>
      <c r="B235" s="13" t="inlineStr">
        <is>
          <t>Expenditure</t>
        </is>
      </c>
      <c r="C235" s="13" t="inlineStr">
        <is>
          <t>Recreation</t>
        </is>
      </c>
      <c r="D235" s="13" t="inlineStr">
        <is>
          <t>Recreation</t>
        </is>
      </c>
      <c r="E235" s="29" t="n">
        <v>5553392</v>
      </c>
      <c r="F235" s="29" t="n">
        <v>5553392</v>
      </c>
      <c r="G235" s="29" t="n">
        <v>5121612</v>
      </c>
      <c r="H235" s="22">
        <f>G235-E235</f>
        <v/>
      </c>
      <c r="I235" s="22">
        <f>G235-F235</f>
        <v/>
      </c>
      <c r="J235" s="7" t="inlineStr">
        <is>
          <t>FY2023 ACFR (elcerrito.gov Archive ADID 7528)</t>
        </is>
      </c>
    </row>
    <row r="236">
      <c r="A236" s="95" t="n">
        <v>2023</v>
      </c>
      <c r="B236" s="13" t="inlineStr">
        <is>
          <t>Expenditure</t>
        </is>
      </c>
      <c r="C236" s="13" t="inlineStr">
        <is>
          <t>Community development</t>
        </is>
      </c>
      <c r="D236" s="13" t="inlineStr">
        <is>
          <t>Community development</t>
        </is>
      </c>
      <c r="E236" s="29" t="n">
        <v>3181129</v>
      </c>
      <c r="F236" s="29" t="n">
        <v>3739747</v>
      </c>
      <c r="G236" s="29" t="n">
        <v>3454028</v>
      </c>
      <c r="H236" s="22">
        <f>G236-E236</f>
        <v/>
      </c>
      <c r="I236" s="22">
        <f>G236-F236</f>
        <v/>
      </c>
      <c r="J236" s="7" t="inlineStr">
        <is>
          <t>FY2023 ACFR (elcerrito.gov Archive ADID 7528)</t>
        </is>
      </c>
    </row>
    <row r="237">
      <c r="A237" s="95" t="n">
        <v>2023</v>
      </c>
      <c r="B237" s="13" t="inlineStr">
        <is>
          <t>Expenditure</t>
        </is>
      </c>
      <c r="C237" s="13" t="inlineStr">
        <is>
          <t>Public Safety</t>
        </is>
      </c>
      <c r="D237" s="13" t="inlineStr">
        <is>
          <t>Public safety (combined)</t>
        </is>
      </c>
      <c r="E237" s="29" t="n">
        <v>26333617</v>
      </c>
      <c r="F237" s="29" t="n">
        <v>27317194</v>
      </c>
      <c r="G237" s="29" t="n">
        <v>25092163</v>
      </c>
      <c r="H237" s="22">
        <f>G237-E237</f>
        <v/>
      </c>
      <c r="I237" s="22">
        <f>G237-F237</f>
        <v/>
      </c>
      <c r="J237" s="7" t="inlineStr">
        <is>
          <t>FY2023 ACFR (elcerrito.gov Archive ADID 7528)</t>
        </is>
      </c>
    </row>
    <row r="238">
      <c r="A238" s="95" t="n">
        <v>2023</v>
      </c>
      <c r="B238" s="13" t="inlineStr">
        <is>
          <t>Expenditure</t>
        </is>
      </c>
      <c r="C238" s="13" t="inlineStr">
        <is>
          <t>Capital outlay</t>
        </is>
      </c>
      <c r="D238" s="13" t="inlineStr">
        <is>
          <t>Capital outlay</t>
        </is>
      </c>
      <c r="E238" s="29" t="n">
        <v>84100</v>
      </c>
      <c r="F238" s="29" t="n">
        <v>169171</v>
      </c>
      <c r="G238" s="29" t="n">
        <v>245306</v>
      </c>
      <c r="H238" s="22">
        <f>G238-E238</f>
        <v/>
      </c>
      <c r="I238" s="22">
        <f>G238-F238</f>
        <v/>
      </c>
      <c r="J238" s="7" t="inlineStr">
        <is>
          <t>FY2023 ACFR (elcerrito.gov Archive ADID 7528)</t>
        </is>
      </c>
    </row>
    <row r="239">
      <c r="A239" s="95" t="n">
        <v>2023</v>
      </c>
      <c r="B239" s="13" t="inlineStr">
        <is>
          <t>Expenditure</t>
        </is>
      </c>
      <c r="C239" s="13" t="inlineStr">
        <is>
          <t>Principal retirement</t>
        </is>
      </c>
      <c r="D239" s="13" t="inlineStr">
        <is>
          <t>Debt service - principal</t>
        </is>
      </c>
      <c r="E239" s="29" t="n">
        <v>136924</v>
      </c>
      <c r="F239" s="29" t="n">
        <v>136924</v>
      </c>
      <c r="G239" s="29" t="n">
        <v>293188</v>
      </c>
      <c r="H239" s="22">
        <f>G239-E239</f>
        <v/>
      </c>
      <c r="I239" s="22">
        <f>G239-F239</f>
        <v/>
      </c>
      <c r="J239" s="7" t="inlineStr">
        <is>
          <t>FY2023 ACFR (elcerrito.gov Archive ADID 7528)</t>
        </is>
      </c>
    </row>
    <row r="240">
      <c r="A240" s="95" t="n">
        <v>2023</v>
      </c>
      <c r="B240" s="13" t="inlineStr">
        <is>
          <t>Expenditure</t>
        </is>
      </c>
      <c r="C240" s="13" t="inlineStr">
        <is>
          <t>Interest and fiscal charges</t>
        </is>
      </c>
      <c r="D240" s="13" t="inlineStr">
        <is>
          <t>Debt service - interest</t>
        </is>
      </c>
      <c r="E240" s="29" t="n">
        <v>154304</v>
      </c>
      <c r="F240" s="29" t="n">
        <v>154304</v>
      </c>
      <c r="G240" s="29" t="n">
        <v>25506</v>
      </c>
      <c r="H240" s="22">
        <f>G240-E240</f>
        <v/>
      </c>
      <c r="I240" s="22">
        <f>G240-F240</f>
        <v/>
      </c>
      <c r="J240" s="7" t="inlineStr">
        <is>
          <t>FY2023 ACFR (elcerrito.gov Archive ADID 7528)</t>
        </is>
      </c>
    </row>
    <row r="241">
      <c r="A241" s="95" t="n">
        <v>2023</v>
      </c>
      <c r="B241" s="13" t="inlineStr">
        <is>
          <t>Other financing</t>
        </is>
      </c>
      <c r="C241" s="13" t="inlineStr">
        <is>
          <t>Debt issuance</t>
        </is>
      </c>
      <c r="D241" s="13" t="inlineStr">
        <is>
          <t>Debt / lease financing proceeds</t>
        </is>
      </c>
      <c r="E241" s="29" t="n">
        <v>0</v>
      </c>
      <c r="F241" s="29" t="n">
        <v>0</v>
      </c>
      <c r="G241" s="29" t="n">
        <v>150000</v>
      </c>
      <c r="H241" s="22">
        <f>G241-E241</f>
        <v/>
      </c>
      <c r="I241" s="22">
        <f>G241-F241</f>
        <v/>
      </c>
      <c r="J241" s="7" t="inlineStr">
        <is>
          <t>FY2023 ACFR (elcerrito.gov Archive ADID 7528)</t>
        </is>
      </c>
    </row>
    <row r="242">
      <c r="A242" s="95" t="n">
        <v>2023</v>
      </c>
      <c r="B242" s="13" t="inlineStr">
        <is>
          <t>Other financing</t>
        </is>
      </c>
      <c r="C242" s="13" t="inlineStr">
        <is>
          <t>Transfers in</t>
        </is>
      </c>
      <c r="D242" s="13" t="inlineStr">
        <is>
          <t>Transfers in</t>
        </is>
      </c>
      <c r="E242" s="29" t="n">
        <v>3671</v>
      </c>
      <c r="F242" s="29" t="n">
        <v>3671</v>
      </c>
      <c r="G242" s="29" t="n">
        <v>3673</v>
      </c>
      <c r="H242" s="22">
        <f>G242-E242</f>
        <v/>
      </c>
      <c r="I242" s="22">
        <f>G242-F242</f>
        <v/>
      </c>
      <c r="J242" s="7" t="inlineStr">
        <is>
          <t>FY2023 ACFR (elcerrito.gov Archive ADID 7528)</t>
        </is>
      </c>
    </row>
    <row r="243">
      <c r="A243" s="95" t="n">
        <v>2023</v>
      </c>
      <c r="B243" s="13" t="inlineStr">
        <is>
          <t>Other financing</t>
        </is>
      </c>
      <c r="C243" s="13" t="inlineStr">
        <is>
          <t>Transfers out</t>
        </is>
      </c>
      <c r="D243" s="13" t="inlineStr">
        <is>
          <t>Transfers out</t>
        </is>
      </c>
      <c r="E243" s="29" t="n">
        <v>-582763</v>
      </c>
      <c r="F243" s="29" t="n">
        <v>-582763</v>
      </c>
      <c r="G243" s="29" t="n">
        <v>-582763</v>
      </c>
      <c r="H243" s="22">
        <f>G243-E243</f>
        <v/>
      </c>
      <c r="I243" s="22">
        <f>G243-F243</f>
        <v/>
      </c>
      <c r="J243" s="7" t="inlineStr">
        <is>
          <t>FY2023 ACFR (elcerrito.gov Archive ADID 7528)</t>
        </is>
      </c>
    </row>
    <row r="244">
      <c r="A244" s="95" t="n">
        <v>2024</v>
      </c>
      <c r="B244" s="13" t="inlineStr">
        <is>
          <t>Revenue</t>
        </is>
      </c>
      <c r="C244" s="13" t="inlineStr">
        <is>
          <t>Taxes and assessments</t>
        </is>
      </c>
      <c r="D244" s="13" t="inlineStr">
        <is>
          <t>Taxes and assessments (combined)</t>
        </is>
      </c>
      <c r="E244" s="29" t="n">
        <v>33892830</v>
      </c>
      <c r="F244" s="29" t="n">
        <v>32892830</v>
      </c>
      <c r="G244" s="29" t="n">
        <v>35847684</v>
      </c>
      <c r="H244" s="22">
        <f>G244-E244</f>
        <v/>
      </c>
      <c r="I244" s="22">
        <f>G244-F244</f>
        <v/>
      </c>
      <c r="J244" s="7" t="inlineStr">
        <is>
          <t>FY2024 ACFR (elcerrito.gov Archive ADID 7857)</t>
        </is>
      </c>
    </row>
    <row r="245">
      <c r="A245" s="95" t="n">
        <v>2024</v>
      </c>
      <c r="B245" s="13" t="inlineStr">
        <is>
          <t>Revenue</t>
        </is>
      </c>
      <c r="C245" s="13" t="inlineStr">
        <is>
          <t>Licenses and permits</t>
        </is>
      </c>
      <c r="D245" s="13" t="inlineStr">
        <is>
          <t>Licenses and permits</t>
        </is>
      </c>
      <c r="E245" s="29" t="n">
        <v>1054618</v>
      </c>
      <c r="F245" s="29" t="n">
        <v>1284618</v>
      </c>
      <c r="G245" s="29" t="n">
        <v>1272849</v>
      </c>
      <c r="H245" s="22">
        <f>G245-E245</f>
        <v/>
      </c>
      <c r="I245" s="22">
        <f>G245-F245</f>
        <v/>
      </c>
      <c r="J245" s="7" t="inlineStr">
        <is>
          <t>FY2024 ACFR (elcerrito.gov Archive ADID 7857)</t>
        </is>
      </c>
    </row>
    <row r="246">
      <c r="A246" s="95" t="n">
        <v>2024</v>
      </c>
      <c r="B246" s="13" t="inlineStr">
        <is>
          <t>Revenue</t>
        </is>
      </c>
      <c r="C246" s="13" t="inlineStr">
        <is>
          <t>Fines and forfeitures</t>
        </is>
      </c>
      <c r="D246" s="13" t="inlineStr">
        <is>
          <t>Fines and forfeitures</t>
        </is>
      </c>
      <c r="E246" s="29" t="n">
        <v>120000</v>
      </c>
      <c r="F246" s="29" t="n">
        <v>145000</v>
      </c>
      <c r="G246" s="29" t="n">
        <v>231231</v>
      </c>
      <c r="H246" s="22">
        <f>G246-E246</f>
        <v/>
      </c>
      <c r="I246" s="22">
        <f>G246-F246</f>
        <v/>
      </c>
      <c r="J246" s="7" t="inlineStr">
        <is>
          <t>FY2024 ACFR (elcerrito.gov Archive ADID 7857)</t>
        </is>
      </c>
    </row>
    <row r="247">
      <c r="A247" s="95" t="n">
        <v>2024</v>
      </c>
      <c r="B247" s="13" t="inlineStr">
        <is>
          <t>Revenue</t>
        </is>
      </c>
      <c r="C247" s="13" t="inlineStr">
        <is>
          <t>Intergovernmental</t>
        </is>
      </c>
      <c r="D247" s="13" t="inlineStr">
        <is>
          <t>Intergovernmental</t>
        </is>
      </c>
      <c r="E247" s="29" t="n">
        <v>5103092</v>
      </c>
      <c r="F247" s="29" t="n">
        <v>5103092</v>
      </c>
      <c r="G247" s="29" t="n">
        <v>5234450</v>
      </c>
      <c r="H247" s="22">
        <f>G247-E247</f>
        <v/>
      </c>
      <c r="I247" s="22">
        <f>G247-F247</f>
        <v/>
      </c>
      <c r="J247" s="7" t="inlineStr">
        <is>
          <t>FY2024 ACFR (elcerrito.gov Archive ADID 7857)</t>
        </is>
      </c>
    </row>
    <row r="248">
      <c r="A248" s="95" t="n">
        <v>2024</v>
      </c>
      <c r="B248" s="13" t="inlineStr">
        <is>
          <t>Revenue</t>
        </is>
      </c>
      <c r="C248" s="13" t="inlineStr">
        <is>
          <t>Use of money and property</t>
        </is>
      </c>
      <c r="D248" s="13" t="inlineStr">
        <is>
          <t>Use of money and property</t>
        </is>
      </c>
      <c r="E248" s="29" t="n">
        <v>277242</v>
      </c>
      <c r="F248" s="29" t="n">
        <v>278742</v>
      </c>
      <c r="G248" s="29" t="n">
        <v>667457</v>
      </c>
      <c r="H248" s="22">
        <f>G248-E248</f>
        <v/>
      </c>
      <c r="I248" s="22">
        <f>G248-F248</f>
        <v/>
      </c>
      <c r="J248" s="7" t="inlineStr">
        <is>
          <t>FY2024 ACFR (elcerrito.gov Archive ADID 7857)</t>
        </is>
      </c>
    </row>
    <row r="249">
      <c r="A249" s="95" t="n">
        <v>2024</v>
      </c>
      <c r="B249" s="13" t="inlineStr">
        <is>
          <t>Revenue</t>
        </is>
      </c>
      <c r="C249" s="13" t="inlineStr">
        <is>
          <t>Charges for Services</t>
        </is>
      </c>
      <c r="D249" s="13" t="inlineStr">
        <is>
          <t>Charges for services</t>
        </is>
      </c>
      <c r="E249" s="29" t="n">
        <v>7807310</v>
      </c>
      <c r="F249" s="29" t="n">
        <v>8663262</v>
      </c>
      <c r="G249" s="29" t="n">
        <v>8594094</v>
      </c>
      <c r="H249" s="22">
        <f>G249-E249</f>
        <v/>
      </c>
      <c r="I249" s="22">
        <f>G249-F249</f>
        <v/>
      </c>
      <c r="J249" s="7" t="inlineStr">
        <is>
          <t>FY2024 ACFR (elcerrito.gov Archive ADID 7857)</t>
        </is>
      </c>
    </row>
    <row r="250">
      <c r="A250" s="95" t="n">
        <v>2024</v>
      </c>
      <c r="B250" s="13" t="inlineStr">
        <is>
          <t>Revenue</t>
        </is>
      </c>
      <c r="C250" s="13" t="inlineStr">
        <is>
          <t>Other Revenue</t>
        </is>
      </c>
      <c r="D250" s="13" t="inlineStr">
        <is>
          <t>Other revenues</t>
        </is>
      </c>
      <c r="E250" s="29" t="n">
        <v>270000</v>
      </c>
      <c r="F250" s="29" t="n">
        <v>311748</v>
      </c>
      <c r="G250" s="29" t="n">
        <v>272138</v>
      </c>
      <c r="H250" s="22">
        <f>G250-E250</f>
        <v/>
      </c>
      <c r="I250" s="22">
        <f>G250-F250</f>
        <v/>
      </c>
      <c r="J250" s="7" t="inlineStr">
        <is>
          <t>FY2024 ACFR (elcerrito.gov Archive ADID 7857)</t>
        </is>
      </c>
    </row>
    <row r="251">
      <c r="A251" s="95" t="n">
        <v>2024</v>
      </c>
      <c r="B251" s="13" t="inlineStr">
        <is>
          <t>Expenditure</t>
        </is>
      </c>
      <c r="C251" s="13" t="inlineStr">
        <is>
          <t>General government</t>
        </is>
      </c>
      <c r="D251" s="13" t="inlineStr">
        <is>
          <t>General government</t>
        </is>
      </c>
      <c r="E251" s="29" t="n">
        <v>7245870</v>
      </c>
      <c r="F251" s="29" t="n">
        <v>8069637</v>
      </c>
      <c r="G251" s="29" t="n">
        <v>7587389</v>
      </c>
      <c r="H251" s="22">
        <f>G251-E251</f>
        <v/>
      </c>
      <c r="I251" s="22">
        <f>G251-F251</f>
        <v/>
      </c>
      <c r="J251" s="7" t="inlineStr">
        <is>
          <t>FY2024 ACFR (elcerrito.gov Archive ADID 7857)</t>
        </is>
      </c>
    </row>
    <row r="252">
      <c r="A252" s="95" t="n">
        <v>2024</v>
      </c>
      <c r="B252" s="13" t="inlineStr">
        <is>
          <t>Expenditure</t>
        </is>
      </c>
      <c r="C252" s="13" t="inlineStr">
        <is>
          <t>Public works</t>
        </is>
      </c>
      <c r="D252" s="13" t="inlineStr">
        <is>
          <t>Public works</t>
        </is>
      </c>
      <c r="E252" s="29" t="n">
        <v>2460423</v>
      </c>
      <c r="F252" s="29" t="n">
        <v>2827046</v>
      </c>
      <c r="G252" s="29" t="n">
        <v>2615288</v>
      </c>
      <c r="H252" s="22">
        <f>G252-E252</f>
        <v/>
      </c>
      <c r="I252" s="22">
        <f>G252-F252</f>
        <v/>
      </c>
      <c r="J252" s="7" t="inlineStr">
        <is>
          <t>FY2024 ACFR (elcerrito.gov Archive ADID 7857)</t>
        </is>
      </c>
    </row>
    <row r="253">
      <c r="A253" s="95" t="n">
        <v>2024</v>
      </c>
      <c r="B253" s="13" t="inlineStr">
        <is>
          <t>Expenditure</t>
        </is>
      </c>
      <c r="C253" s="13" t="inlineStr">
        <is>
          <t>Recreation</t>
        </is>
      </c>
      <c r="D253" s="13" t="inlineStr">
        <is>
          <t>Recreation</t>
        </is>
      </c>
      <c r="E253" s="29" t="n">
        <v>6005416</v>
      </c>
      <c r="F253" s="29" t="n">
        <v>6524937</v>
      </c>
      <c r="G253" s="29" t="n">
        <v>6120140</v>
      </c>
      <c r="H253" s="22">
        <f>G253-E253</f>
        <v/>
      </c>
      <c r="I253" s="22">
        <f>G253-F253</f>
        <v/>
      </c>
      <c r="J253" s="7" t="inlineStr">
        <is>
          <t>FY2024 ACFR (elcerrito.gov Archive ADID 7857)</t>
        </is>
      </c>
    </row>
    <row r="254">
      <c r="A254" s="95" t="n">
        <v>2024</v>
      </c>
      <c r="B254" s="13" t="inlineStr">
        <is>
          <t>Expenditure</t>
        </is>
      </c>
      <c r="C254" s="13" t="inlineStr">
        <is>
          <t>Community development</t>
        </is>
      </c>
      <c r="D254" s="13" t="inlineStr">
        <is>
          <t>Community development</t>
        </is>
      </c>
      <c r="E254" s="29" t="n">
        <v>3799601</v>
      </c>
      <c r="F254" s="29" t="n">
        <v>4892425</v>
      </c>
      <c r="G254" s="29" t="n">
        <v>4267261</v>
      </c>
      <c r="H254" s="22">
        <f>G254-E254</f>
        <v/>
      </c>
      <c r="I254" s="22">
        <f>G254-F254</f>
        <v/>
      </c>
      <c r="J254" s="7" t="inlineStr">
        <is>
          <t>FY2024 ACFR (elcerrito.gov Archive ADID 7857)</t>
        </is>
      </c>
    </row>
    <row r="255">
      <c r="A255" s="95" t="n">
        <v>2024</v>
      </c>
      <c r="B255" s="13" t="inlineStr">
        <is>
          <t>Expenditure</t>
        </is>
      </c>
      <c r="C255" s="13" t="inlineStr">
        <is>
          <t>Public Safety</t>
        </is>
      </c>
      <c r="D255" s="13" t="inlineStr">
        <is>
          <t>Public safety (combined)</t>
        </is>
      </c>
      <c r="E255" s="29" t="n">
        <v>27956083</v>
      </c>
      <c r="F255" s="29" t="n">
        <v>28537232</v>
      </c>
      <c r="G255" s="29" t="n">
        <v>27693105</v>
      </c>
      <c r="H255" s="22">
        <f>G255-E255</f>
        <v/>
      </c>
      <c r="I255" s="22">
        <f>G255-F255</f>
        <v/>
      </c>
      <c r="J255" s="7" t="inlineStr">
        <is>
          <t>FY2024 ACFR (elcerrito.gov Archive ADID 7857)</t>
        </is>
      </c>
    </row>
    <row r="256">
      <c r="A256" s="95" t="n">
        <v>2024</v>
      </c>
      <c r="B256" s="13" t="inlineStr">
        <is>
          <t>Expenditure</t>
        </is>
      </c>
      <c r="C256" s="13" t="inlineStr">
        <is>
          <t>Capital outlay</t>
        </is>
      </c>
      <c r="D256" s="13" t="inlineStr">
        <is>
          <t>Capital outlay</t>
        </is>
      </c>
      <c r="E256" s="29" t="n">
        <v>99503</v>
      </c>
      <c r="F256" s="29" t="n">
        <v>232720</v>
      </c>
      <c r="G256" s="29" t="n">
        <v>156776</v>
      </c>
      <c r="H256" s="22">
        <f>G256-E256</f>
        <v/>
      </c>
      <c r="I256" s="22">
        <f>G256-F256</f>
        <v/>
      </c>
      <c r="J256" s="7" t="inlineStr">
        <is>
          <t>FY2024 ACFR (elcerrito.gov Archive ADID 7857)</t>
        </is>
      </c>
    </row>
    <row r="257">
      <c r="A257" s="95" t="n">
        <v>2024</v>
      </c>
      <c r="B257" s="13" t="inlineStr">
        <is>
          <t>Expenditure</t>
        </is>
      </c>
      <c r="C257" s="13" t="inlineStr">
        <is>
          <t>Principal retirement</t>
        </is>
      </c>
      <c r="D257" s="13" t="inlineStr">
        <is>
          <t>Debt service - principal</t>
        </is>
      </c>
      <c r="E257" s="29" t="n">
        <v>131766</v>
      </c>
      <c r="F257" s="29" t="n">
        <v>131766</v>
      </c>
      <c r="G257" s="29" t="n">
        <v>205276</v>
      </c>
      <c r="H257" s="22">
        <f>G257-E257</f>
        <v/>
      </c>
      <c r="I257" s="22">
        <f>G257-F257</f>
        <v/>
      </c>
      <c r="J257" s="7" t="inlineStr">
        <is>
          <t>FY2024 ACFR (elcerrito.gov Archive ADID 7857)</t>
        </is>
      </c>
    </row>
    <row r="258">
      <c r="A258" s="95" t="n">
        <v>2024</v>
      </c>
      <c r="B258" s="13" t="inlineStr">
        <is>
          <t>Expenditure</t>
        </is>
      </c>
      <c r="C258" s="13" t="inlineStr">
        <is>
          <t>Interest and fiscal charges</t>
        </is>
      </c>
      <c r="D258" s="13" t="inlineStr">
        <is>
          <t>Debt service - interest</t>
        </is>
      </c>
      <c r="E258" s="29" t="n">
        <v>154160</v>
      </c>
      <c r="F258" s="29" t="n">
        <v>154160</v>
      </c>
      <c r="G258" s="29" t="n">
        <v>25506</v>
      </c>
      <c r="H258" s="22">
        <f>G258-E258</f>
        <v/>
      </c>
      <c r="I258" s="22">
        <f>G258-F258</f>
        <v/>
      </c>
      <c r="J258" s="7" t="inlineStr">
        <is>
          <t>FY2024 ACFR (elcerrito.gov Archive ADID 7857)</t>
        </is>
      </c>
    </row>
    <row r="259">
      <c r="A259" s="95" t="n">
        <v>2024</v>
      </c>
      <c r="B259" s="13" t="inlineStr">
        <is>
          <t>Other financing</t>
        </is>
      </c>
      <c r="C259" s="13" t="inlineStr">
        <is>
          <t>Transfers in</t>
        </is>
      </c>
      <c r="D259" s="13" t="inlineStr">
        <is>
          <t>Transfers in</t>
        </is>
      </c>
      <c r="E259" s="29" t="n">
        <v>3671</v>
      </c>
      <c r="F259" s="29" t="n">
        <v>3671</v>
      </c>
      <c r="G259" s="29" t="n">
        <v>3671</v>
      </c>
      <c r="H259" s="22">
        <f>G259-E259</f>
        <v/>
      </c>
      <c r="I259" s="22">
        <f>G259-F259</f>
        <v/>
      </c>
      <c r="J259" s="7" t="inlineStr">
        <is>
          <t>FY2024 ACFR (elcerrito.gov Archive ADID 7857)</t>
        </is>
      </c>
    </row>
    <row r="260">
      <c r="A260" s="95" t="n">
        <v>2024</v>
      </c>
      <c r="B260" s="13" t="inlineStr">
        <is>
          <t>Other financing</t>
        </is>
      </c>
      <c r="C260" s="13" t="inlineStr">
        <is>
          <t>Transfers out</t>
        </is>
      </c>
      <c r="D260" s="13" t="inlineStr">
        <is>
          <t>Transfers out</t>
        </is>
      </c>
      <c r="E260" s="29" t="n">
        <v>-582763</v>
      </c>
      <c r="F260" s="29" t="n">
        <v>-3622194</v>
      </c>
      <c r="G260" s="29" t="n">
        <v>-3702980</v>
      </c>
      <c r="H260" s="22">
        <f>G260-E260</f>
        <v/>
      </c>
      <c r="I260" s="22">
        <f>G260-F260</f>
        <v/>
      </c>
      <c r="J260" s="7" t="inlineStr">
        <is>
          <t>FY2024 ACFR (elcerrito.gov Archive ADID 7857)</t>
        </is>
      </c>
    </row>
    <row r="261">
      <c r="A261" s="95" t="n">
        <v>2025</v>
      </c>
      <c r="B261" s="13" t="inlineStr">
        <is>
          <t>Revenue</t>
        </is>
      </c>
      <c r="C261" s="13" t="inlineStr">
        <is>
          <t>Taxes and assessments</t>
        </is>
      </c>
      <c r="D261" s="13" t="inlineStr">
        <is>
          <t>Taxes and assessments (combined)</t>
        </is>
      </c>
      <c r="E261" s="29" t="n">
        <v>34827302</v>
      </c>
      <c r="F261" s="29" t="n">
        <v>34827302</v>
      </c>
      <c r="G261" s="29" t="n">
        <v>36217428</v>
      </c>
      <c r="H261" s="22">
        <f>G261-E261</f>
        <v/>
      </c>
      <c r="I261" s="22">
        <f>G261-F261</f>
        <v/>
      </c>
      <c r="J261" s="7" t="inlineStr">
        <is>
          <t>FY2025 ACFR (elcerrito.gov Archive ADID 8130)</t>
        </is>
      </c>
    </row>
    <row r="262">
      <c r="A262" s="95" t="n">
        <v>2025</v>
      </c>
      <c r="B262" s="13" t="inlineStr">
        <is>
          <t>Revenue</t>
        </is>
      </c>
      <c r="C262" s="13" t="inlineStr">
        <is>
          <t>Licenses and permits</t>
        </is>
      </c>
      <c r="D262" s="13" t="inlineStr">
        <is>
          <t>Licenses and permits</t>
        </is>
      </c>
      <c r="E262" s="29" t="n">
        <v>1007000</v>
      </c>
      <c r="F262" s="29" t="n">
        <v>1007000</v>
      </c>
      <c r="G262" s="29" t="n">
        <v>1414521</v>
      </c>
      <c r="H262" s="22">
        <f>G262-E262</f>
        <v/>
      </c>
      <c r="I262" s="22">
        <f>G262-F262</f>
        <v/>
      </c>
      <c r="J262" s="7" t="inlineStr">
        <is>
          <t>FY2025 ACFR (elcerrito.gov Archive ADID 8130)</t>
        </is>
      </c>
    </row>
    <row r="263">
      <c r="A263" s="95" t="n">
        <v>2025</v>
      </c>
      <c r="B263" s="13" t="inlineStr">
        <is>
          <t>Revenue</t>
        </is>
      </c>
      <c r="C263" s="13" t="inlineStr">
        <is>
          <t>Fines and forfeitures</t>
        </is>
      </c>
      <c r="D263" s="13" t="inlineStr">
        <is>
          <t>Fines and forfeitures</t>
        </is>
      </c>
      <c r="E263" s="29" t="n">
        <v>130000</v>
      </c>
      <c r="F263" s="29" t="n">
        <v>130000</v>
      </c>
      <c r="G263" s="29" t="n">
        <v>198860</v>
      </c>
      <c r="H263" s="22">
        <f>G263-E263</f>
        <v/>
      </c>
      <c r="I263" s="22">
        <f>G263-F263</f>
        <v/>
      </c>
      <c r="J263" s="7" t="inlineStr">
        <is>
          <t>FY2025 ACFR (elcerrito.gov Archive ADID 8130)</t>
        </is>
      </c>
    </row>
    <row r="264">
      <c r="A264" s="95" t="n">
        <v>2025</v>
      </c>
      <c r="B264" s="13" t="inlineStr">
        <is>
          <t>Revenue</t>
        </is>
      </c>
      <c r="C264" s="13" t="inlineStr">
        <is>
          <t>Intergovernmental</t>
        </is>
      </c>
      <c r="D264" s="13" t="inlineStr">
        <is>
          <t>Intergovernmental</t>
        </is>
      </c>
      <c r="E264" s="29" t="n">
        <v>5214401</v>
      </c>
      <c r="F264" s="29" t="n">
        <v>5214401</v>
      </c>
      <c r="G264" s="29" t="n">
        <v>5964717</v>
      </c>
      <c r="H264" s="22">
        <f>G264-E264</f>
        <v/>
      </c>
      <c r="I264" s="22">
        <f>G264-F264</f>
        <v/>
      </c>
      <c r="J264" s="7" t="inlineStr">
        <is>
          <t>FY2025 ACFR (elcerrito.gov Archive ADID 8130)</t>
        </is>
      </c>
    </row>
    <row r="265">
      <c r="A265" s="95" t="n">
        <v>2025</v>
      </c>
      <c r="B265" s="13" t="inlineStr">
        <is>
          <t>Revenue</t>
        </is>
      </c>
      <c r="C265" s="13" t="inlineStr">
        <is>
          <t>Use of money and property</t>
        </is>
      </c>
      <c r="D265" s="13" t="inlineStr">
        <is>
          <t>Use of money and property</t>
        </is>
      </c>
      <c r="E265" s="29" t="n">
        <v>570000</v>
      </c>
      <c r="F265" s="29" t="n">
        <v>570000</v>
      </c>
      <c r="G265" s="29" t="n">
        <v>616575</v>
      </c>
      <c r="H265" s="22">
        <f>G265-E265</f>
        <v/>
      </c>
      <c r="I265" s="22">
        <f>G265-F265</f>
        <v/>
      </c>
      <c r="J265" s="7" t="inlineStr">
        <is>
          <t>FY2025 ACFR (elcerrito.gov Archive ADID 8130)</t>
        </is>
      </c>
    </row>
    <row r="266">
      <c r="A266" s="95" t="n">
        <v>2025</v>
      </c>
      <c r="B266" s="13" t="inlineStr">
        <is>
          <t>Revenue</t>
        </is>
      </c>
      <c r="C266" s="13" t="inlineStr">
        <is>
          <t>Charges for Services</t>
        </is>
      </c>
      <c r="D266" s="13" t="inlineStr">
        <is>
          <t>Charges for services</t>
        </is>
      </c>
      <c r="E266" s="29" t="n">
        <v>9444070</v>
      </c>
      <c r="F266" s="29" t="n">
        <v>9754605</v>
      </c>
      <c r="G266" s="29" t="n">
        <v>9495474</v>
      </c>
      <c r="H266" s="22">
        <f>G266-E266</f>
        <v/>
      </c>
      <c r="I266" s="22">
        <f>G266-F266</f>
        <v/>
      </c>
      <c r="J266" s="7" t="inlineStr">
        <is>
          <t>FY2025 ACFR (elcerrito.gov Archive ADID 8130)</t>
        </is>
      </c>
    </row>
    <row r="267">
      <c r="A267" s="95" t="n">
        <v>2025</v>
      </c>
      <c r="B267" s="13" t="inlineStr">
        <is>
          <t>Revenue</t>
        </is>
      </c>
      <c r="C267" s="13" t="inlineStr">
        <is>
          <t>Other Revenue</t>
        </is>
      </c>
      <c r="D267" s="13" t="inlineStr">
        <is>
          <t>Other revenues</t>
        </is>
      </c>
      <c r="E267" s="29" t="n">
        <v>190000</v>
      </c>
      <c r="F267" s="29" t="n">
        <v>190000</v>
      </c>
      <c r="G267" s="29" t="n">
        <v>226257</v>
      </c>
      <c r="H267" s="22">
        <f>G267-E267</f>
        <v/>
      </c>
      <c r="I267" s="22">
        <f>G267-F267</f>
        <v/>
      </c>
      <c r="J267" s="7" t="inlineStr">
        <is>
          <t>FY2025 ACFR (elcerrito.gov Archive ADID 8130)</t>
        </is>
      </c>
    </row>
    <row r="268">
      <c r="A268" s="95" t="n">
        <v>2025</v>
      </c>
      <c r="B268" s="13" t="inlineStr">
        <is>
          <t>Expenditure</t>
        </is>
      </c>
      <c r="C268" s="13" t="inlineStr">
        <is>
          <t>General government</t>
        </is>
      </c>
      <c r="D268" s="13" t="inlineStr">
        <is>
          <t>General government</t>
        </is>
      </c>
      <c r="E268" s="29" t="n">
        <v>7667983</v>
      </c>
      <c r="F268" s="29" t="n">
        <v>7971500</v>
      </c>
      <c r="G268" s="29" t="n">
        <v>7764023</v>
      </c>
      <c r="H268" s="22">
        <f>G268-E268</f>
        <v/>
      </c>
      <c r="I268" s="22">
        <f>G268-F268</f>
        <v/>
      </c>
      <c r="J268" s="7" t="inlineStr">
        <is>
          <t>FY2025 ACFR (elcerrito.gov Archive ADID 8130)</t>
        </is>
      </c>
    </row>
    <row r="269">
      <c r="A269" s="95" t="n">
        <v>2025</v>
      </c>
      <c r="B269" s="13" t="inlineStr">
        <is>
          <t>Expenditure</t>
        </is>
      </c>
      <c r="C269" s="13" t="inlineStr">
        <is>
          <t>Public works</t>
        </is>
      </c>
      <c r="D269" s="13" t="inlineStr">
        <is>
          <t>Public works</t>
        </is>
      </c>
      <c r="E269" s="29" t="n">
        <v>2463131</v>
      </c>
      <c r="F269" s="29" t="n">
        <v>2786045</v>
      </c>
      <c r="G269" s="29" t="n">
        <v>2316028</v>
      </c>
      <c r="H269" s="22">
        <f>G269-E269</f>
        <v/>
      </c>
      <c r="I269" s="22">
        <f>G269-F269</f>
        <v/>
      </c>
      <c r="J269" s="7" t="inlineStr">
        <is>
          <t>FY2025 ACFR (elcerrito.gov Archive ADID 8130)</t>
        </is>
      </c>
    </row>
    <row r="270">
      <c r="A270" s="95" t="n">
        <v>2025</v>
      </c>
      <c r="B270" s="13" t="inlineStr">
        <is>
          <t>Expenditure</t>
        </is>
      </c>
      <c r="C270" s="13" t="inlineStr">
        <is>
          <t>Recreation</t>
        </is>
      </c>
      <c r="D270" s="13" t="inlineStr">
        <is>
          <t>Recreation</t>
        </is>
      </c>
      <c r="E270" s="29" t="n">
        <v>6601235</v>
      </c>
      <c r="F270" s="29" t="n">
        <v>6903467</v>
      </c>
      <c r="G270" s="29" t="n">
        <v>6383344</v>
      </c>
      <c r="H270" s="22">
        <f>G270-E270</f>
        <v/>
      </c>
      <c r="I270" s="22">
        <f>G270-F270</f>
        <v/>
      </c>
      <c r="J270" s="7" t="inlineStr">
        <is>
          <t>FY2025 ACFR (elcerrito.gov Archive ADID 8130)</t>
        </is>
      </c>
    </row>
    <row r="271">
      <c r="A271" s="95" t="n">
        <v>2025</v>
      </c>
      <c r="B271" s="13" t="inlineStr">
        <is>
          <t>Expenditure</t>
        </is>
      </c>
      <c r="C271" s="13" t="inlineStr">
        <is>
          <t>Community development</t>
        </is>
      </c>
      <c r="D271" s="13" t="inlineStr">
        <is>
          <t>Community development</t>
        </is>
      </c>
      <c r="E271" s="29" t="n">
        <v>3897923</v>
      </c>
      <c r="F271" s="29" t="n">
        <v>4168728</v>
      </c>
      <c r="G271" s="29" t="n">
        <v>3846961</v>
      </c>
      <c r="H271" s="22">
        <f>G271-E271</f>
        <v/>
      </c>
      <c r="I271" s="22">
        <f>G271-F271</f>
        <v/>
      </c>
      <c r="J271" s="7" t="inlineStr">
        <is>
          <t>FY2025 ACFR (elcerrito.gov Archive ADID 8130)</t>
        </is>
      </c>
    </row>
    <row r="272">
      <c r="A272" s="95" t="n">
        <v>2025</v>
      </c>
      <c r="B272" s="13" t="inlineStr">
        <is>
          <t>Expenditure</t>
        </is>
      </c>
      <c r="C272" s="13" t="inlineStr">
        <is>
          <t>Public Safety</t>
        </is>
      </c>
      <c r="D272" s="13" t="inlineStr">
        <is>
          <t>Public safety (combined)</t>
        </is>
      </c>
      <c r="E272" s="29" t="n">
        <v>29703351</v>
      </c>
      <c r="F272" s="29" t="n">
        <v>30476789</v>
      </c>
      <c r="G272" s="29" t="n">
        <v>30964493</v>
      </c>
      <c r="H272" s="22">
        <f>G272-E272</f>
        <v/>
      </c>
      <c r="I272" s="22">
        <f>G272-F272</f>
        <v/>
      </c>
      <c r="J272" s="7" t="inlineStr">
        <is>
          <t>FY2025 ACFR (elcerrito.gov Archive ADID 8130)</t>
        </is>
      </c>
    </row>
    <row r="273">
      <c r="A273" s="95" t="n">
        <v>2025</v>
      </c>
      <c r="B273" s="13" t="inlineStr">
        <is>
          <t>Expenditure</t>
        </is>
      </c>
      <c r="C273" s="13" t="inlineStr">
        <is>
          <t>Capital outlay</t>
        </is>
      </c>
      <c r="D273" s="13" t="inlineStr">
        <is>
          <t>Capital outlay</t>
        </is>
      </c>
      <c r="E273" s="29" t="n">
        <v>71179</v>
      </c>
      <c r="F273" s="29" t="n">
        <v>71179</v>
      </c>
      <c r="G273" s="29" t="n">
        <v>226373</v>
      </c>
      <c r="H273" s="22">
        <f>G273-E273</f>
        <v/>
      </c>
      <c r="I273" s="22">
        <f>G273-F273</f>
        <v/>
      </c>
      <c r="J273" s="7" t="inlineStr">
        <is>
          <t>FY2025 ACFR (elcerrito.gov Archive ADID 8130)</t>
        </is>
      </c>
    </row>
    <row r="274">
      <c r="A274" s="95" t="n">
        <v>2025</v>
      </c>
      <c r="B274" s="13" t="inlineStr">
        <is>
          <t>Expenditure</t>
        </is>
      </c>
      <c r="C274" s="13" t="inlineStr">
        <is>
          <t>Principal retirement</t>
        </is>
      </c>
      <c r="D274" s="13" t="inlineStr">
        <is>
          <t>Debt service - principal</t>
        </is>
      </c>
      <c r="E274" s="29" t="n">
        <v>172987</v>
      </c>
      <c r="F274" s="29" t="n">
        <v>172987</v>
      </c>
      <c r="G274" s="29" t="n">
        <v>215408</v>
      </c>
      <c r="H274" s="22">
        <f>G274-E274</f>
        <v/>
      </c>
      <c r="I274" s="22">
        <f>G274-F274</f>
        <v/>
      </c>
      <c r="J274" s="7" t="inlineStr">
        <is>
          <t>FY2025 ACFR (elcerrito.gov Archive ADID 8130)</t>
        </is>
      </c>
    </row>
    <row r="275">
      <c r="A275" s="95" t="n">
        <v>2025</v>
      </c>
      <c r="B275" s="13" t="inlineStr">
        <is>
          <t>Expenditure</t>
        </is>
      </c>
      <c r="C275" s="13" t="inlineStr">
        <is>
          <t>Interest</t>
        </is>
      </c>
      <c r="D275" s="13" t="inlineStr">
        <is>
          <t>Debt service - interest</t>
        </is>
      </c>
      <c r="E275" s="29" t="n">
        <v>16375</v>
      </c>
      <c r="F275" s="29" t="n">
        <v>16375</v>
      </c>
      <c r="G275" s="29" t="n">
        <v>16375</v>
      </c>
      <c r="H275" s="22">
        <f>G275-E275</f>
        <v/>
      </c>
      <c r="I275" s="22">
        <f>G275-F275</f>
        <v/>
      </c>
      <c r="J275" s="7" t="inlineStr">
        <is>
          <t>FY2025 ACFR (elcerrito.gov Archive ADID 8130)</t>
        </is>
      </c>
    </row>
    <row r="276">
      <c r="A276" s="95" t="n">
        <v>2025</v>
      </c>
      <c r="B276" s="13" t="inlineStr">
        <is>
          <t>Other financing</t>
        </is>
      </c>
      <c r="C276" s="13" t="inlineStr">
        <is>
          <t>Debt issuance</t>
        </is>
      </c>
      <c r="D276" s="13" t="inlineStr">
        <is>
          <t>Debt / lease financing proceeds</t>
        </is>
      </c>
      <c r="E276" s="29" t="n">
        <v>0</v>
      </c>
      <c r="F276" s="29" t="n">
        <v>0</v>
      </c>
      <c r="G276" s="29" t="n">
        <v>211001</v>
      </c>
      <c r="H276" s="22">
        <f>G276-E276</f>
        <v/>
      </c>
      <c r="I276" s="22">
        <f>G276-F276</f>
        <v/>
      </c>
      <c r="J276" s="7" t="inlineStr">
        <is>
          <t>FY2025 ACFR (elcerrito.gov Archive ADID 8130)</t>
        </is>
      </c>
    </row>
    <row r="277">
      <c r="A277" s="95" t="n">
        <v>2025</v>
      </c>
      <c r="B277" s="13" t="inlineStr">
        <is>
          <t>Other financing</t>
        </is>
      </c>
      <c r="C277" s="13" t="inlineStr">
        <is>
          <t>Transfers in</t>
        </is>
      </c>
      <c r="D277" s="13" t="inlineStr">
        <is>
          <t>Transfers in</t>
        </is>
      </c>
      <c r="E277" s="29" t="n">
        <v>3671</v>
      </c>
      <c r="F277" s="29" t="n">
        <v>3671</v>
      </c>
      <c r="G277" s="29" t="n">
        <v>3671</v>
      </c>
      <c r="H277" s="22">
        <f>G277-E277</f>
        <v/>
      </c>
      <c r="I277" s="22">
        <f>G277-F277</f>
        <v/>
      </c>
      <c r="J277" s="7" t="inlineStr">
        <is>
          <t>FY2025 ACFR (elcerrito.gov Archive ADID 8130)</t>
        </is>
      </c>
    </row>
    <row r="278">
      <c r="A278" s="95" t="n">
        <v>2025</v>
      </c>
      <c r="B278" s="13" t="inlineStr">
        <is>
          <t>Other financing</t>
        </is>
      </c>
      <c r="C278" s="13" t="inlineStr">
        <is>
          <t>Transfers out</t>
        </is>
      </c>
      <c r="D278" s="13" t="inlineStr">
        <is>
          <t>Transfers out</t>
        </is>
      </c>
      <c r="E278" s="29" t="n">
        <v>-758329</v>
      </c>
      <c r="F278" s="29" t="n">
        <v>-1258329</v>
      </c>
      <c r="G278" s="29" t="n">
        <v>-1258329</v>
      </c>
      <c r="H278" s="22">
        <f>G278-E278</f>
        <v/>
      </c>
      <c r="I278" s="22">
        <f>G278-F278</f>
        <v/>
      </c>
      <c r="J278" s="7" t="inlineStr">
        <is>
          <t>FY2025 ACFR (elcerrito.gov Archive ADID 8130)</t>
        </is>
      </c>
    </row>
    <row r="279">
      <c r="A279" s="96" t="n">
        <v>2026</v>
      </c>
      <c r="B279" s="97" t="inlineStr">
        <is>
          <t>Revenue</t>
        </is>
      </c>
      <c r="C279" s="97" t="inlineStr">
        <is>
          <t>Taxes Totals</t>
        </is>
      </c>
      <c r="D279" s="97" t="inlineStr">
        <is>
          <t>Taxes and assessments (combined)</t>
        </is>
      </c>
      <c r="E279" s="30" t="n">
        <v>36865664</v>
      </c>
      <c r="F279" s="30" t="n">
        <v>36865664</v>
      </c>
      <c r="G279" s="30" t="n">
        <v>38144050</v>
      </c>
      <c r="H279" s="23">
        <f>G279-E279</f>
        <v/>
      </c>
      <c r="I279" s="23">
        <f>G279-F279</f>
        <v/>
      </c>
      <c r="J279" s="98" t="inlineStr">
        <is>
          <t>UNAUDITED - FY2025-26 Q4 General Fund Budget Update (Agenda Bill 8.A, 9/15/2026); original budget per 6/17/2025 adoption</t>
        </is>
      </c>
    </row>
    <row r="280">
      <c r="A280" s="96" t="n">
        <v>2026</v>
      </c>
      <c r="B280" s="97" t="inlineStr">
        <is>
          <t>Revenue</t>
        </is>
      </c>
      <c r="C280" s="97" t="inlineStr">
        <is>
          <t>Licenses &amp; Permits</t>
        </is>
      </c>
      <c r="D280" s="97" t="inlineStr">
        <is>
          <t>Licenses and permits</t>
        </is>
      </c>
      <c r="E280" s="30" t="n">
        <v>1073280</v>
      </c>
      <c r="F280" s="30" t="n">
        <v>1073280</v>
      </c>
      <c r="G280" s="30" t="n">
        <v>1254919</v>
      </c>
      <c r="H280" s="23">
        <f>G280-E280</f>
        <v/>
      </c>
      <c r="I280" s="23">
        <f>G280-F280</f>
        <v/>
      </c>
      <c r="J280" s="98" t="inlineStr">
        <is>
          <t>UNAUDITED - FY2025-26 Q4 General Fund Budget Update (Agenda Bill 8.A, 9/15/2026); original budget per 6/17/2025 adoption</t>
        </is>
      </c>
    </row>
    <row r="281">
      <c r="A281" s="96" t="n">
        <v>2026</v>
      </c>
      <c r="B281" s="97" t="inlineStr">
        <is>
          <t>Revenue</t>
        </is>
      </c>
      <c r="C281" s="97" t="inlineStr">
        <is>
          <t>Fines &amp; Forfeitures</t>
        </is>
      </c>
      <c r="D281" s="97" t="inlineStr">
        <is>
          <t>Fines and forfeitures</t>
        </is>
      </c>
      <c r="E281" s="30" t="n">
        <v>130000</v>
      </c>
      <c r="F281" s="30" t="n">
        <v>130000</v>
      </c>
      <c r="G281" s="30" t="n">
        <v>261594</v>
      </c>
      <c r="H281" s="23">
        <f>G281-E281</f>
        <v/>
      </c>
      <c r="I281" s="23">
        <f>G281-F281</f>
        <v/>
      </c>
      <c r="J281" s="98" t="inlineStr">
        <is>
          <t>UNAUDITED - FY2025-26 Q4 General Fund Budget Update (Agenda Bill 8.A, 9/15/2026); original budget per 6/17/2025 adoption</t>
        </is>
      </c>
    </row>
    <row r="282">
      <c r="A282" s="96" t="n">
        <v>2026</v>
      </c>
      <c r="B282" s="97" t="inlineStr">
        <is>
          <t>Revenue</t>
        </is>
      </c>
      <c r="C282" s="97" t="inlineStr">
        <is>
          <t>Use of Money and Property</t>
        </is>
      </c>
      <c r="D282" s="97" t="inlineStr">
        <is>
          <t>Use of money and property</t>
        </is>
      </c>
      <c r="E282" s="30" t="n">
        <v>830600</v>
      </c>
      <c r="F282" s="30" t="n">
        <v>830600</v>
      </c>
      <c r="G282" s="30" t="n">
        <v>1094200</v>
      </c>
      <c r="H282" s="23">
        <f>G282-E282</f>
        <v/>
      </c>
      <c r="I282" s="23">
        <f>G282-F282</f>
        <v/>
      </c>
      <c r="J282" s="98" t="inlineStr">
        <is>
          <t>UNAUDITED - FY2025-26 Q4 General Fund Budget Update (Agenda Bill 8.A, 9/15/2026); original budget per 6/17/2025 adoption</t>
        </is>
      </c>
    </row>
    <row r="283">
      <c r="A283" s="96" t="n">
        <v>2026</v>
      </c>
      <c r="B283" s="97" t="inlineStr">
        <is>
          <t>Revenue</t>
        </is>
      </c>
      <c r="C283" s="97" t="inlineStr">
        <is>
          <t>Intergovernmental Revenues</t>
        </is>
      </c>
      <c r="D283" s="97" t="inlineStr">
        <is>
          <t>Intergovernmental</t>
        </is>
      </c>
      <c r="E283" s="30" t="n">
        <v>5551043</v>
      </c>
      <c r="F283" s="30" t="n">
        <v>5551043</v>
      </c>
      <c r="G283" s="30" t="n">
        <v>5279224</v>
      </c>
      <c r="H283" s="23">
        <f>G283-E283</f>
        <v/>
      </c>
      <c r="I283" s="23">
        <f>G283-F283</f>
        <v/>
      </c>
      <c r="J283" s="98" t="inlineStr">
        <is>
          <t>UNAUDITED - FY2025-26 Q4 General Fund Budget Update (Agenda Bill 8.A, 9/15/2026); original budget per 6/17/2025 adoption</t>
        </is>
      </c>
    </row>
    <row r="284">
      <c r="A284" s="96" t="n">
        <v>2026</v>
      </c>
      <c r="B284" s="97" t="inlineStr">
        <is>
          <t>Revenue</t>
        </is>
      </c>
      <c r="C284" s="97" t="inlineStr">
        <is>
          <t>Charges for Services</t>
        </is>
      </c>
      <c r="D284" s="97" t="inlineStr">
        <is>
          <t>Charges for services</t>
        </is>
      </c>
      <c r="E284" s="30" t="n">
        <v>7550502</v>
      </c>
      <c r="F284" s="30" t="n">
        <v>7550502</v>
      </c>
      <c r="G284" s="30" t="n">
        <v>7348756</v>
      </c>
      <c r="H284" s="23">
        <f>G284-E284</f>
        <v/>
      </c>
      <c r="I284" s="23">
        <f>G284-F284</f>
        <v/>
      </c>
      <c r="J284" s="98" t="inlineStr">
        <is>
          <t>UNAUDITED - FY2025-26 Q4 General Fund Budget Update (Agenda Bill 8.A, 9/15/2026); original budget per 6/17/2025 adoption</t>
        </is>
      </c>
    </row>
    <row r="285">
      <c r="A285" s="96" t="n">
        <v>2026</v>
      </c>
      <c r="B285" s="97" t="inlineStr">
        <is>
          <t>Revenue</t>
        </is>
      </c>
      <c r="C285" s="97" t="inlineStr">
        <is>
          <t>Other Revenue</t>
        </is>
      </c>
      <c r="D285" s="97" t="inlineStr">
        <is>
          <t>Other revenues</t>
        </is>
      </c>
      <c r="E285" s="30" t="n">
        <v>747200</v>
      </c>
      <c r="F285" s="30" t="n">
        <v>747200</v>
      </c>
      <c r="G285" s="30" t="n">
        <v>943313</v>
      </c>
      <c r="H285" s="23">
        <f>G285-E285</f>
        <v/>
      </c>
      <c r="I285" s="23">
        <f>G285-F285</f>
        <v/>
      </c>
      <c r="J285" s="98" t="inlineStr">
        <is>
          <t>UNAUDITED - FY2025-26 Q4 General Fund Budget Update (Agenda Bill 8.A, 9/15/2026); original budget per 6/17/2025 adoption</t>
        </is>
      </c>
    </row>
    <row r="286">
      <c r="A286" s="96" t="n">
        <v>2026</v>
      </c>
      <c r="B286" s="97" t="inlineStr">
        <is>
          <t>Expenditure</t>
        </is>
      </c>
      <c r="C286" s="97" t="inlineStr">
        <is>
          <t>Administration</t>
        </is>
      </c>
      <c r="D286" s="97" t="inlineStr">
        <is>
          <t>General government</t>
        </is>
      </c>
      <c r="E286" s="30" t="n">
        <v>0</v>
      </c>
      <c r="F286" s="30" t="n">
        <v>9103654</v>
      </c>
      <c r="G286" s="30" t="n">
        <v>8617108</v>
      </c>
      <c r="H286" s="23">
        <f>G286-E286</f>
        <v/>
      </c>
      <c r="I286" s="23">
        <f>G286-F286</f>
        <v/>
      </c>
      <c r="J286" s="98" t="inlineStr">
        <is>
          <t>UNAUDITED - FY2025-26 Q4 General Fund Budget Update (Agenda Bill 8.A, 9/15/2026); original budget per 6/17/2025 adoption</t>
        </is>
      </c>
    </row>
    <row r="287">
      <c r="A287" s="96" t="n">
        <v>2026</v>
      </c>
      <c r="B287" s="97" t="inlineStr">
        <is>
          <t>Expenditure</t>
        </is>
      </c>
      <c r="C287" s="97" t="inlineStr">
        <is>
          <t>Community Development</t>
        </is>
      </c>
      <c r="D287" s="97" t="inlineStr">
        <is>
          <t>Community development</t>
        </is>
      </c>
      <c r="E287" s="30" t="n">
        <v>0</v>
      </c>
      <c r="F287" s="30" t="n">
        <v>4101484</v>
      </c>
      <c r="G287" s="30" t="n">
        <v>3913479</v>
      </c>
      <c r="H287" s="23">
        <f>G287-E287</f>
        <v/>
      </c>
      <c r="I287" s="23">
        <f>G287-F287</f>
        <v/>
      </c>
      <c r="J287" s="98" t="inlineStr">
        <is>
          <t>UNAUDITED - FY2025-26 Q4 General Fund Budget Update (Agenda Bill 8.A, 9/15/2026); original budget per 6/17/2025 adoption</t>
        </is>
      </c>
    </row>
    <row r="288">
      <c r="A288" s="96" t="n">
        <v>2026</v>
      </c>
      <c r="B288" s="97" t="inlineStr">
        <is>
          <t>Expenditure</t>
        </is>
      </c>
      <c r="C288" s="97" t="inlineStr">
        <is>
          <t>Fire</t>
        </is>
      </c>
      <c r="D288" s="97" t="inlineStr">
        <is>
          <t>Public safety - Fire</t>
        </is>
      </c>
      <c r="E288" s="30" t="n">
        <v>0</v>
      </c>
      <c r="F288" s="30" t="n">
        <v>16144408</v>
      </c>
      <c r="G288" s="30" t="n">
        <v>16624099</v>
      </c>
      <c r="H288" s="23">
        <f>G288-E288</f>
        <v/>
      </c>
      <c r="I288" s="23">
        <f>G288-F288</f>
        <v/>
      </c>
      <c r="J288" s="98" t="inlineStr">
        <is>
          <t>UNAUDITED - FY2025-26 Q4 General Fund Budget Update (Agenda Bill 8.A, 9/15/2026); original budget per 6/17/2025 adoption</t>
        </is>
      </c>
    </row>
    <row r="289">
      <c r="A289" s="96" t="n">
        <v>2026</v>
      </c>
      <c r="B289" s="97" t="inlineStr">
        <is>
          <t>Expenditure</t>
        </is>
      </c>
      <c r="C289" s="97" t="inlineStr">
        <is>
          <t>Non-departmental (excl. transfers out)</t>
        </is>
      </c>
      <c r="D289" s="97" t="inlineStr">
        <is>
          <t>Non-departmental (budget-report basis)</t>
        </is>
      </c>
      <c r="E289" s="30" t="n">
        <v>0</v>
      </c>
      <c r="F289" s="30" t="n">
        <v>120639</v>
      </c>
      <c r="G289" s="30" t="n">
        <v>146207</v>
      </c>
      <c r="H289" s="23">
        <f>G289-E289</f>
        <v/>
      </c>
      <c r="I289" s="23">
        <f>G289-F289</f>
        <v/>
      </c>
      <c r="J289" s="98" t="inlineStr">
        <is>
          <t>UNAUDITED - FY2025-26 Q4 General Fund Budget Update (Agenda Bill 8.A, 9/15/2026); original budget per 6/17/2025 adoption</t>
        </is>
      </c>
    </row>
    <row r="290">
      <c r="A290" s="96" t="n">
        <v>2026</v>
      </c>
      <c r="B290" s="97" t="inlineStr">
        <is>
          <t>Expenditure</t>
        </is>
      </c>
      <c r="C290" s="97" t="inlineStr">
        <is>
          <t>Police</t>
        </is>
      </c>
      <c r="D290" s="97" t="inlineStr">
        <is>
          <t>Public safety - Police</t>
        </is>
      </c>
      <c r="E290" s="30" t="n">
        <v>0</v>
      </c>
      <c r="F290" s="30" t="n">
        <v>15323961</v>
      </c>
      <c r="G290" s="30" t="n">
        <v>15541520</v>
      </c>
      <c r="H290" s="23">
        <f>G290-E290</f>
        <v/>
      </c>
      <c r="I290" s="23">
        <f>G290-F290</f>
        <v/>
      </c>
      <c r="J290" s="98" t="inlineStr">
        <is>
          <t>UNAUDITED - FY2025-26 Q4 General Fund Budget Update (Agenda Bill 8.A, 9/15/2026); original budget per 6/17/2025 adoption</t>
        </is>
      </c>
    </row>
    <row r="291">
      <c r="A291" s="96" t="n">
        <v>2026</v>
      </c>
      <c r="B291" s="97" t="inlineStr">
        <is>
          <t>Expenditure</t>
        </is>
      </c>
      <c r="C291" s="97" t="inlineStr">
        <is>
          <t>Public Works</t>
        </is>
      </c>
      <c r="D291" s="97" t="inlineStr">
        <is>
          <t>Public works</t>
        </is>
      </c>
      <c r="E291" s="30" t="n">
        <v>0</v>
      </c>
      <c r="F291" s="30" t="n">
        <v>2631758</v>
      </c>
      <c r="G291" s="30" t="n">
        <v>2437020</v>
      </c>
      <c r="H291" s="23">
        <f>G291-E291</f>
        <v/>
      </c>
      <c r="I291" s="23">
        <f>G291-F291</f>
        <v/>
      </c>
      <c r="J291" s="98" t="inlineStr">
        <is>
          <t>UNAUDITED - FY2025-26 Q4 General Fund Budget Update (Agenda Bill 8.A, 9/15/2026); original budget per 6/17/2025 adoption</t>
        </is>
      </c>
    </row>
    <row r="292">
      <c r="A292" s="96" t="n">
        <v>2026</v>
      </c>
      <c r="B292" s="97" t="inlineStr">
        <is>
          <t>Expenditure</t>
        </is>
      </c>
      <c r="C292" s="97" t="inlineStr">
        <is>
          <t>Recreation</t>
        </is>
      </c>
      <c r="D292" s="97" t="inlineStr">
        <is>
          <t>Recreation</t>
        </is>
      </c>
      <c r="E292" s="30" t="n">
        <v>0</v>
      </c>
      <c r="F292" s="30" t="n">
        <v>6712967</v>
      </c>
      <c r="G292" s="30" t="n">
        <v>6479401</v>
      </c>
      <c r="H292" s="23">
        <f>G292-E292</f>
        <v/>
      </c>
      <c r="I292" s="23">
        <f>G292-F292</f>
        <v/>
      </c>
      <c r="J292" s="98" t="inlineStr">
        <is>
          <t>UNAUDITED - FY2025-26 Q4 General Fund Budget Update (Agenda Bill 8.A, 9/15/2026); original budget per 6/17/2025 adoption</t>
        </is>
      </c>
    </row>
    <row r="293">
      <c r="A293" s="96" t="n">
        <v>2026</v>
      </c>
      <c r="B293" s="97" t="inlineStr">
        <is>
          <t>Expenditure</t>
        </is>
      </c>
      <c r="C293" s="97" t="inlineStr">
        <is>
          <t>Original budget not itemized by department (adopted total less transfers out)</t>
        </is>
      </c>
      <c r="D293" s="97" t="inlineStr">
        <is>
          <t>Original budget not itemized by department</t>
        </is>
      </c>
      <c r="E293" s="30" t="n">
        <v>53002282</v>
      </c>
      <c r="F293" s="30" t="n">
        <v>0</v>
      </c>
      <c r="G293" s="30" t="n">
        <v>0</v>
      </c>
      <c r="H293" s="23">
        <f>G293-E293</f>
        <v/>
      </c>
      <c r="I293" s="23">
        <f>G293-F293</f>
        <v/>
      </c>
      <c r="J293" s="98" t="inlineStr">
        <is>
          <t>UNAUDITED - FY2025-26 Q4 General Fund Budget Update (Agenda Bill 8.A, 9/15/2026); original budget per 6/17/2025 adoption</t>
        </is>
      </c>
    </row>
    <row r="294">
      <c r="A294" s="96" t="n">
        <v>2026</v>
      </c>
      <c r="B294" s="97" t="inlineStr">
        <is>
          <t>Other financing</t>
        </is>
      </c>
      <c r="C294" s="97" t="inlineStr">
        <is>
          <t>Other Financing Sources (transfers in, budget-report basis)</t>
        </is>
      </c>
      <c r="D294" s="97" t="inlineStr">
        <is>
          <t>Transfers in</t>
        </is>
      </c>
      <c r="E294" s="30" t="n">
        <v>1031502</v>
      </c>
      <c r="F294" s="30" t="n">
        <v>1031502</v>
      </c>
      <c r="G294" s="30" t="n">
        <v>1109194</v>
      </c>
      <c r="H294" s="23">
        <f>G294-E294</f>
        <v/>
      </c>
      <c r="I294" s="23">
        <f>G294-F294</f>
        <v/>
      </c>
      <c r="J294" s="98" t="inlineStr">
        <is>
          <t>UNAUDITED - FY2025-26 Q4 General Fund Budget Update (Agenda Bill 8.A, 9/15/2026); original budget per 6/17/2025 adoption</t>
        </is>
      </c>
    </row>
    <row r="295">
      <c r="A295" s="96" t="n">
        <v>2026</v>
      </c>
      <c r="B295" s="97" t="inlineStr">
        <is>
          <t>Other financing</t>
        </is>
      </c>
      <c r="C295" s="97" t="inlineStr">
        <is>
          <t>Other Financing Uses (transfers out)</t>
        </is>
      </c>
      <c r="D295" s="97" t="inlineStr">
        <is>
          <t>Transfers out</t>
        </is>
      </c>
      <c r="E295" s="30" t="n">
        <v>-761735</v>
      </c>
      <c r="F295" s="30" t="n">
        <v>-2760128</v>
      </c>
      <c r="G295" s="30" t="n">
        <v>-2760128</v>
      </c>
      <c r="H295" s="23">
        <f>G295-E295</f>
        <v/>
      </c>
      <c r="I295" s="23">
        <f>G295-F295</f>
        <v/>
      </c>
      <c r="J295" s="98" t="inlineStr">
        <is>
          <t>UNAUDITED - FY2025-26 Q4 General Fund Budget Update (Agenda Bill 8.A, 9/15/2026); original budget per 6/17/2025 adoption</t>
        </is>
      </c>
    </row>
  </sheetData>
  <autoFilter ref="A4:J2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2026-10-19T16:55:48Z</dcterms:created>
  <dcterms:modified xsi:type="dcterms:W3CDTF">2026-10-19T16:55:48Z</dcterms:modified>
</cp:coreProperties>
</file>